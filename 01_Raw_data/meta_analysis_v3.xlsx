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uflorida-my.sharepoint.com/personal/samanthahowley_ufl_edu/Documents/Desktop/PUBLICATION STORY BOARDS/Internal-External/meta analysis/"/>
    </mc:Choice>
  </mc:AlternateContent>
  <xr:revisionPtr revIDLastSave="93" documentId="11_6DEE2FB147DC04A8312DD2E7A8C0C0C02284BBAE" xr6:coauthVersionLast="47" xr6:coauthVersionMax="47" xr10:uidLastSave="{69234DF6-EAD7-4492-A089-B42F1B999667}"/>
  <bookViews>
    <workbookView xWindow="-120" yWindow="-120" windowWidth="25440" windowHeight="15270" xr2:uid="{00000000-000D-0000-FFFF-FFFF00000000}"/>
  </bookViews>
  <sheets>
    <sheet name="Data" sheetId="1" r:id="rId1"/>
    <sheet name="Paper_Info" sheetId="2" r:id="rId2"/>
  </sheets>
  <definedNames>
    <definedName name="_xlnm._FilterDatabase" localSheetId="0" hidden="1">Data!$A$1:$R$95</definedName>
    <definedName name="_xlnm._FilterDatabase" localSheetId="1" hidden="1">Paper_Info!$A$1:$V$96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6" i="1" l="1"/>
  <c r="H37" i="1"/>
  <c r="H39" i="1"/>
  <c r="H40" i="1"/>
  <c r="H42" i="1"/>
  <c r="H43" i="1"/>
  <c r="H44" i="1"/>
  <c r="H45" i="1"/>
  <c r="H46" i="1"/>
  <c r="H47" i="1"/>
  <c r="H48" i="1"/>
  <c r="H49" i="1"/>
  <c r="H50" i="1"/>
  <c r="H51" i="1"/>
  <c r="H52" i="1"/>
  <c r="H55" i="1"/>
  <c r="H56" i="1"/>
  <c r="H58" i="1"/>
  <c r="H59" i="1"/>
  <c r="H61" i="1"/>
  <c r="H63" i="1"/>
  <c r="H64" i="1"/>
  <c r="H65" i="1"/>
  <c r="H66" i="1"/>
  <c r="H67" i="1"/>
  <c r="H68" i="1"/>
  <c r="H69" i="1"/>
  <c r="H70" i="1"/>
  <c r="H75" i="1"/>
  <c r="H87" i="1"/>
  <c r="H88" i="1"/>
  <c r="H89" i="1"/>
  <c r="H90" i="1"/>
  <c r="H91" i="1"/>
  <c r="H92" i="1"/>
  <c r="H93" i="1"/>
  <c r="H94" i="1"/>
  <c r="H95" i="1"/>
  <c r="H34" i="1"/>
  <c r="H3" i="1"/>
  <c r="H7" i="1"/>
  <c r="H8" i="1"/>
  <c r="H9" i="1"/>
  <c r="H10" i="1"/>
  <c r="H11" i="1"/>
  <c r="H12" i="1"/>
  <c r="H13" i="1"/>
  <c r="H14" i="1"/>
  <c r="H15" i="1"/>
  <c r="H16" i="1"/>
  <c r="H17" i="1"/>
  <c r="H18" i="1"/>
  <c r="H19" i="1"/>
  <c r="H20" i="1"/>
  <c r="H21" i="1"/>
  <c r="H22" i="1"/>
  <c r="H23" i="1"/>
  <c r="H25" i="1"/>
  <c r="H26" i="1"/>
  <c r="H27" i="1"/>
  <c r="H28" i="1"/>
  <c r="H29" i="1"/>
  <c r="H30" i="1"/>
  <c r="H31" i="1"/>
  <c r="E86" i="1"/>
  <c r="H86" i="1" s="1"/>
  <c r="E85" i="1"/>
  <c r="H85" i="1" s="1"/>
  <c r="E84" i="1"/>
  <c r="H84" i="1" s="1"/>
  <c r="E83" i="1"/>
  <c r="H83" i="1" s="1"/>
  <c r="E82" i="1"/>
  <c r="E81" i="1"/>
  <c r="E80" i="1"/>
  <c r="E79" i="1"/>
  <c r="H79" i="1" s="1"/>
  <c r="E78" i="1"/>
  <c r="H78" i="1" s="1"/>
  <c r="E77" i="1"/>
  <c r="H77" i="1" s="1"/>
  <c r="E76" i="1"/>
  <c r="H76" i="1" s="1"/>
  <c r="E75" i="1"/>
  <c r="E74" i="1"/>
  <c r="H74" i="1" s="1"/>
  <c r="E73" i="1"/>
  <c r="H73" i="1" s="1"/>
  <c r="E72" i="1"/>
  <c r="H72" i="1" s="1"/>
  <c r="E71" i="1"/>
  <c r="F32" i="1"/>
  <c r="G32" i="1" s="1"/>
</calcChain>
</file>

<file path=xl/sharedStrings.xml><?xml version="1.0" encoding="utf-8"?>
<sst xmlns="http://schemas.openxmlformats.org/spreadsheetml/2006/main" count="2164" uniqueCount="604">
  <si>
    <t>Row_ID</t>
  </si>
  <si>
    <t>Citation</t>
  </si>
  <si>
    <t>Site_ID</t>
  </si>
  <si>
    <t>n_reaches</t>
  </si>
  <si>
    <t>CO2_flux_gCm2day</t>
  </si>
  <si>
    <t>Internal_Pathway_gCm2day</t>
  </si>
  <si>
    <t>External_Pathway_gCm2day</t>
  </si>
  <si>
    <t>Internal_Pct_of_Flux</t>
  </si>
  <si>
    <t>GPP_gCm2day</t>
  </si>
  <si>
    <t>ER_gCm2day</t>
  </si>
  <si>
    <t>Discharge_m3s</t>
  </si>
  <si>
    <t>pH</t>
  </si>
  <si>
    <t>Temperature_C</t>
  </si>
  <si>
    <t>Mean_Annual_Precipitation_cm_yr</t>
  </si>
  <si>
    <t>R001</t>
  </si>
  <si>
    <t>(Aho et al., 2021)</t>
  </si>
  <si>
    <t>Connecticut River (mainstem)</t>
  </si>
  <si>
    <t>R002</t>
  </si>
  <si>
    <t>Farmington River</t>
  </si>
  <si>
    <t>R003</t>
  </si>
  <si>
    <t>Hubbard River</t>
  </si>
  <si>
    <t>R004</t>
  </si>
  <si>
    <t>Nepaug River</t>
  </si>
  <si>
    <t>R005</t>
  </si>
  <si>
    <t>Phelps Brook</t>
  </si>
  <si>
    <t>R029</t>
  </si>
  <si>
    <t>(Bega et al., 2026)</t>
  </si>
  <si>
    <t>Broa</t>
  </si>
  <si>
    <t>R030</t>
  </si>
  <si>
    <t>Canchim</t>
  </si>
  <si>
    <t>R031</t>
  </si>
  <si>
    <t>Engenho</t>
  </si>
  <si>
    <t>R032</t>
  </si>
  <si>
    <t>Espraiado</t>
  </si>
  <si>
    <t>R033</t>
  </si>
  <si>
    <t>Mineirinho</t>
  </si>
  <si>
    <t>R034</t>
  </si>
  <si>
    <t>Monjolinho</t>
  </si>
  <si>
    <t>R035</t>
  </si>
  <si>
    <t>Quilombo</t>
  </si>
  <si>
    <t>R036</t>
  </si>
  <si>
    <t>(Bernal et al., 2022)</t>
  </si>
  <si>
    <t>Font del Regàs (perennial stream)</t>
  </si>
  <si>
    <t>R037</t>
  </si>
  <si>
    <t>Fuirosos (non-perennial stream)</t>
  </si>
  <si>
    <t>N008</t>
  </si>
  <si>
    <t>(Bertuzzo et al., 2022)</t>
  </si>
  <si>
    <t>Black Earth Creek, Wisconsin (USGS 05406457, 29.5 km2)</t>
  </si>
  <si>
    <t>N003</t>
  </si>
  <si>
    <t>(Carter et al., 2022)</t>
  </si>
  <si>
    <t>Concrete Bridge Pool (CBP, 3450 m)</t>
  </si>
  <si>
    <t>N001</t>
  </si>
  <si>
    <t>New Hope Creek (NHC, 0 m)</t>
  </si>
  <si>
    <t>R038</t>
  </si>
  <si>
    <t>New Hope Creek study reach (all 6 sites, NHC_0 to NHC_8.5 pooled)</t>
  </si>
  <si>
    <t>N002</t>
  </si>
  <si>
    <t>Piney Mountain (PM, 1570 m)</t>
  </si>
  <si>
    <t>N006</t>
  </si>
  <si>
    <t>Upper New Hope Creek (UNHC, 8450 m)</t>
  </si>
  <si>
    <t>N004</t>
  </si>
  <si>
    <t>Wooden Bridge (WB, 5950 m)</t>
  </si>
  <si>
    <t>N005</t>
  </si>
  <si>
    <t>Wooden Bridge Pool (WBP, 6120 m)</t>
  </si>
  <si>
    <t>R043</t>
  </si>
  <si>
    <t>(Crawford et al., 2014)</t>
  </si>
  <si>
    <t>Allequash Creek (Allequash Middle reach, single-station metabolism)</t>
  </si>
  <si>
    <t>R049</t>
  </si>
  <si>
    <t>(Demars, 2019)</t>
  </si>
  <si>
    <t>Birnie Burn (ECN stream)</t>
  </si>
  <si>
    <t>R050</t>
  </si>
  <si>
    <t>Cairn Burn (paired stream)</t>
  </si>
  <si>
    <t>R060</t>
  </si>
  <si>
    <t>(Duvert et al., 2019)</t>
  </si>
  <si>
    <t>Daly River (reaches D1-D10, length-weighted whole-river)</t>
  </si>
  <si>
    <t>R061</t>
  </si>
  <si>
    <t>Howard River (reaches H1-H9, length-weighted whole-river)</t>
  </si>
  <si>
    <t>R076</t>
  </si>
  <si>
    <t>(Gong et al., 2021)</t>
  </si>
  <si>
    <t>TLC (Tianmu Lake Catchment; mean of XS, XZ and ZT)</t>
  </si>
  <si>
    <t>R081</t>
  </si>
  <si>
    <t>YRC (Yankou Reservoir Catchment; mean of HSX, JFZ and SH)</t>
  </si>
  <si>
    <t>R084</t>
  </si>
  <si>
    <t>(Hall et al., 2026)</t>
  </si>
  <si>
    <t>Blaine Creek (downstream station, 61 m; study-wide)</t>
  </si>
  <si>
    <t>R105</t>
  </si>
  <si>
    <t>(Khadka et al., 2014)</t>
  </si>
  <si>
    <t>Lower Santa Fe (sites River Rise, 2500, 2700, 2800) - day-weighted annual</t>
  </si>
  <si>
    <t>R112</t>
  </si>
  <si>
    <t>Upper Santa Fe (sites 700, 1000, 1500, River Sink) - day-weighted annual</t>
  </si>
  <si>
    <t>R113</t>
  </si>
  <si>
    <t>(Kirk &amp; Cohen, 2023)</t>
  </si>
  <si>
    <t>DRAIN</t>
  </si>
  <si>
    <t>R114</t>
  </si>
  <si>
    <t>ICHE (Ichetucknee River, spring-fed)</t>
  </si>
  <si>
    <t>R116</t>
  </si>
  <si>
    <t>SF1000</t>
  </si>
  <si>
    <t>R117</t>
  </si>
  <si>
    <t>SF1500</t>
  </si>
  <si>
    <t>R118</t>
  </si>
  <si>
    <t>SF2500</t>
  </si>
  <si>
    <t>R119</t>
  </si>
  <si>
    <t>SF2800</t>
  </si>
  <si>
    <t>R120</t>
  </si>
  <si>
    <t>SF700</t>
  </si>
  <si>
    <t>R126</t>
  </si>
  <si>
    <t>(Leng et al., 2025)</t>
  </si>
  <si>
    <t>River (Elbe River, Magdeburg)</t>
  </si>
  <si>
    <t>R128</t>
  </si>
  <si>
    <t>Stream (Bode River, Gross Germersleben)</t>
  </si>
  <si>
    <t>R135</t>
  </si>
  <si>
    <t>(Liu et al., 2026)</t>
  </si>
  <si>
    <t>SNWD-MRP main canal (in-canal)</t>
  </si>
  <si>
    <t>R138</t>
  </si>
  <si>
    <t>(Lupon et al., 2019)</t>
  </si>
  <si>
    <t>C5–C6 stream reach (whole reach, 1.4 km, Krycklan)</t>
  </si>
  <si>
    <t>R139</t>
  </si>
  <si>
    <t>(Marzolf et al., 2022)</t>
  </si>
  <si>
    <t>Taconazo lower 75 m study reach</t>
  </si>
  <si>
    <t>(Moustapha et al., 2022)</t>
  </si>
  <si>
    <t>R148</t>
  </si>
  <si>
    <t>Whole Nyong river network (watershed-scale)</t>
  </si>
  <si>
    <t>R152</t>
  </si>
  <si>
    <t>(Nguyen et al., 2025)</t>
  </si>
  <si>
    <t>Middle Loire, Dampierre station</t>
  </si>
  <si>
    <t>R157</t>
  </si>
  <si>
    <t>(Oviedo-Vargas et al., 2015)</t>
  </si>
  <si>
    <t>Lower Arboleda</t>
  </si>
  <si>
    <t>R168</t>
  </si>
  <si>
    <t>(Piatka et al., 2024)</t>
  </si>
  <si>
    <t>Haselbach (HAS)</t>
  </si>
  <si>
    <t>R180</t>
  </si>
  <si>
    <t>(Rasilo et al., 2017)</t>
  </si>
  <si>
    <t>ALL (43 streams, study-wide)</t>
  </si>
  <si>
    <t>R185</t>
  </si>
  <si>
    <t>(Rexroade et al., 2026)</t>
  </si>
  <si>
    <t>Downstream monitoring station (EC.DS)</t>
  </si>
  <si>
    <t>R189</t>
  </si>
  <si>
    <t>Upstream monitoring station (EC)</t>
  </si>
  <si>
    <t>R190</t>
  </si>
  <si>
    <t>(Rocher-Ros et al., 2020)</t>
  </si>
  <si>
    <t>2.1 km losing reach upstream of M1 (CO2 mass balance)</t>
  </si>
  <si>
    <t>R192</t>
  </si>
  <si>
    <t>M1 (M1LK)</t>
  </si>
  <si>
    <t>R193</t>
  </si>
  <si>
    <t>M10 (M10HK)</t>
  </si>
  <si>
    <t>R194</t>
  </si>
  <si>
    <t>M16 (M16LK)</t>
  </si>
  <si>
    <t>R195</t>
  </si>
  <si>
    <t>M17 (M17LK)</t>
  </si>
  <si>
    <t>R196</t>
  </si>
  <si>
    <t>M6 (M6HK)</t>
  </si>
  <si>
    <t>R197</t>
  </si>
  <si>
    <t>M9 (M9HK)</t>
  </si>
  <si>
    <t>R198</t>
  </si>
  <si>
    <t>(Shangguan et al., 2026)</t>
  </si>
  <si>
    <t>Lower Louse (LL)</t>
  </si>
  <si>
    <t>R200</t>
  </si>
  <si>
    <t>Porter Creek (PC)</t>
  </si>
  <si>
    <t>R202</t>
  </si>
  <si>
    <t>Upper Louse (UL)</t>
  </si>
  <si>
    <t>R210</t>
  </si>
  <si>
    <t>(Solano et al., 2023)</t>
  </si>
  <si>
    <t>Manton Creek (stream outlet monitoring station, ~475 m reach–pool–reach)</t>
  </si>
  <si>
    <t>R214</t>
  </si>
  <si>
    <t>(Taillardat et al., 2022)</t>
  </si>
  <si>
    <t>#1 (stream source area, segment start)</t>
  </si>
  <si>
    <t>R215</t>
  </si>
  <si>
    <t>#2</t>
  </si>
  <si>
    <t>R216</t>
  </si>
  <si>
    <t>#3</t>
  </si>
  <si>
    <t>R217</t>
  </si>
  <si>
    <t>#4</t>
  </si>
  <si>
    <t>R218</t>
  </si>
  <si>
    <t>#5</t>
  </si>
  <si>
    <t>R219</t>
  </si>
  <si>
    <t>#6</t>
  </si>
  <si>
    <t>R220</t>
  </si>
  <si>
    <t>#7</t>
  </si>
  <si>
    <t>R221</t>
  </si>
  <si>
    <t>#8 (outlet, segment g; continuous monitoring station)</t>
  </si>
  <si>
    <t>R234</t>
  </si>
  <si>
    <t>(Wang et al., 2021)</t>
  </si>
  <si>
    <t>Reach 1</t>
  </si>
  <si>
    <t>R235</t>
  </si>
  <si>
    <t>Reach 10</t>
  </si>
  <si>
    <t>R236</t>
  </si>
  <si>
    <t>Reach 11</t>
  </si>
  <si>
    <t>R237</t>
  </si>
  <si>
    <t>Reach 12</t>
  </si>
  <si>
    <t>R238</t>
  </si>
  <si>
    <t>Reach 13</t>
  </si>
  <si>
    <t>R239</t>
  </si>
  <si>
    <t>Reach 14</t>
  </si>
  <si>
    <t>R240</t>
  </si>
  <si>
    <t>Reach 15</t>
  </si>
  <si>
    <t>R241</t>
  </si>
  <si>
    <t>Reach 16</t>
  </si>
  <si>
    <t>R242</t>
  </si>
  <si>
    <t>Reach 2</t>
  </si>
  <si>
    <t>R243</t>
  </si>
  <si>
    <t>Reach 3</t>
  </si>
  <si>
    <t>R244</t>
  </si>
  <si>
    <t>Reach 4</t>
  </si>
  <si>
    <t>R245</t>
  </si>
  <si>
    <t>Reach 5</t>
  </si>
  <si>
    <t>R246</t>
  </si>
  <si>
    <t>Reach 6</t>
  </si>
  <si>
    <t>R247</t>
  </si>
  <si>
    <t>Reach 7</t>
  </si>
  <si>
    <t>R248</t>
  </si>
  <si>
    <t>Reach 8</t>
  </si>
  <si>
    <t>R249</t>
  </si>
  <si>
    <t>Reach 9</t>
  </si>
  <si>
    <t>R262</t>
  </si>
  <si>
    <t>(Wang et al., 2023)</t>
  </si>
  <si>
    <t>Bulang River groundwater-stream-atmosphere transect (Sites I-III)</t>
  </si>
  <si>
    <t>G01</t>
  </si>
  <si>
    <t>(Gómez-Gener et al., 2016)</t>
  </si>
  <si>
    <t>Segment 1 (lotic, stream order 4, 2150 m)</t>
  </si>
  <si>
    <t>G02</t>
  </si>
  <si>
    <t>Segment 2 (lotic, stream order 2, 660 m)</t>
  </si>
  <si>
    <t>G03</t>
  </si>
  <si>
    <t>Segment 3 (lotic, stream order 3, 340 m)</t>
  </si>
  <si>
    <t>G04</t>
  </si>
  <si>
    <t>Segment 4 (lotic, stream order 5, 3810 m)</t>
  </si>
  <si>
    <t>G05</t>
  </si>
  <si>
    <t>Segment 5 (lotic, stream order 4, 1720 m)</t>
  </si>
  <si>
    <t>G06</t>
  </si>
  <si>
    <t>Segment 6 (lotic, stream order 6, 2360 m)</t>
  </si>
  <si>
    <t>G07</t>
  </si>
  <si>
    <t>Segment 7 (lotic, stream order 6, 2450 m)</t>
  </si>
  <si>
    <t>G08</t>
  </si>
  <si>
    <t>Segment 8 (lotic, stream order 6, 3220 m)</t>
  </si>
  <si>
    <t>DOI</t>
  </si>
  <si>
    <t>Location</t>
  </si>
  <si>
    <t>Source_Water</t>
  </si>
  <si>
    <t>CO2_Flux_Method</t>
  </si>
  <si>
    <t>k600_Method</t>
  </si>
  <si>
    <t>Sampling_Period</t>
  </si>
  <si>
    <t>RQ_used</t>
  </si>
  <si>
    <t>Partition_Origin</t>
  </si>
  <si>
    <t>Internal_Fraction_Pct</t>
  </si>
  <si>
    <t>External_Fraction_Pct</t>
  </si>
  <si>
    <t>Fraction_Basis</t>
  </si>
  <si>
    <t>Is_Aggregate</t>
  </si>
  <si>
    <t>Stat_Type</t>
  </si>
  <si>
    <t>Source</t>
  </si>
  <si>
    <t>Unit_Conversions_Notes</t>
  </si>
  <si>
    <t>Needs_Hand_Check</t>
  </si>
  <si>
    <t>Extracted_On</t>
  </si>
  <si>
    <t>N_rows_collapsed</t>
  </si>
  <si>
    <t>10.1002/lol2.10195</t>
  </si>
  <si>
    <t>Connecticut River watershed (Farmington River sub-basin and Connecticut River mainstem), northwest Connecticut, USA</t>
  </si>
  <si>
    <t>No terrestrial/groundwater CO2 source apportionment given. CO2 dynamics are attributed to in-stream aerobic metabolism (photosynthetic uptake driving undersaturation), carbonate buffering, and HCO3- conversion; at low flow the river is described as a 'quasi-closed system' maintaining chemical rather than atmospheric CO2 equilibrium.</t>
  </si>
  <si>
    <t>no flux reported</t>
  </si>
  <si>
    <t>not reported</t>
  </si>
  <si>
    <t>Paired O2-CO2 high-frequency time series: 2019 growing season (example 10-d window 13-22 Aug 2019); diel/carbonate model and representative GPP levels: 20 Jul-24 Sep 2019; 48-h intensive DIC/d13C sampling of Connecticut River mainstem: 6-8 Sep 2020; O2 (and hence GPP) monitored at all sites since 2015 (4-yr/4.5-yr record); nutrient (TDN, TDP) samples: June and August 2015</t>
  </si>
  <si>
    <t>NONE</t>
  </si>
  <si>
    <t>median</t>
  </si>
  <si>
    <t>GPP: Methods (Data analysis and modeling) and Fig. 4 caption; median of 20 Jul-24 Sep 2019 (min 3.3, Q1 14.8, Q3 28, max 40.1)</t>
  </si>
  <si>
    <t>Table 1: drainage basin 25,001.4 km2; USGS station 1184000; model used K600 = 5 m d-1 constant; O2:CO2 molar ratio 1.2 assumed for both CO2 and HCO3- uptake; observed slope 1.7 where exCO2 &gt;= 0 [as printed: GPP=19.4 g-O2 m-2 d-1; ER=NA ; flux=NA ]  || 2026-09-07 RERUN: Derived from lol210195-supplement1.csv (15-min series, 5 sites). CO2 flux = kCO2*(CO2-CO2sat) with kCO2 = K600.daily*(ScCO2/600)^-0.5, Wanninkhof (2014) freshwater Sc; umol/L * m/d = mmol/m2/d, x12.011/1000 -&gt; gC/m2/d. GPP/ER converted from g-O2 with RQ=PQ=1 (x0.375445). Daily values filtered to physically valid days (GPP&gt;=0, ER&lt;=0): thom 67/67, unio 70/144, hubb 52/202, nepa 40/40, phel 78/176 days; supplement contains unconstrained streamMetabolizer output with implausible positive-ER/negative-GPP days. Site medians reported (matches paper convention: paper quotes Connecticut mainstem median GPP 19.4 g-O2/m2/d = 7.28 gC, reproduced exactly). Fluxes/internal/external computed on days with BOTH valid metabolism and CO2; pH/temp/Q are full-record medians. Site codes: thom=Connecticut R. at Thompsonville, unio=Farmington R. at Unionville, hubb=Hubbard, nepa=Nepaug, phel=Phelps. Internal = |ER|-GPP; External = flux - Internal. Cross-check: Diamond and Bertuzzo (2025, JGR 10.1029/2024JG008401) model NEP_C for Union = -0.07 mol C/m2/d (0.84 gC, vs 0.98 here) and Phelps = -0.10 mol C/m2/d (1.20 gC, vs 4.76 here), but over 8-11 day August windows only, not season-long.</t>
  </si>
  <si>
    <t>YES</t>
  </si>
  <si>
    <t>2026-09-04</t>
  </si>
  <si>
    <t>not stated</t>
  </si>
  <si>
    <t>Table 1: drainage basin 977.2 km2; second strongest diel O2-CO2 amplitude (Fig. 2, Table S1) [as printed: GPP=NA ; ER=NA ; flux=NA ]  || 2026-09-07 RERUN: Derived from lol210195-supplement1.csv (15-min series, 5 sites). CO2 flux = kCO2*(CO2-CO2sat) with kCO2 = K600.daily*(ScCO2/600)^-0.5, Wanninkhof (2014) freshwater Sc; umol/L * m/d = mmol/m2/d, x12.011/1000 -&gt; gC/m2/d. GPP/ER converted from g-O2 with RQ=PQ=1 (x0.375445). Daily values filtered to physically valid days (GPP&gt;=0, ER&lt;=0): thom 67/67, unio 70/144, hubb 52/202, nepa 40/40, phel 78/176 days; supplement contains unconstrained streamMetabolizer output with implausible positive-ER/negative-GPP days. Site medians reported (matches paper convention: paper quotes Connecticut mainstem median GPP 19.4 g-O2/m2/d = 7.28 gC, reproduced exactly). Fluxes/internal/external computed on days with BOTH valid metabolism and CO2; pH/temp/Q are full-record medians. Site codes: thom=Connecticut R. at Thompsonville, unio=Farmington R. at Unionville, hubb=Hubbard, nepa=Nepaug, phel=Phelps. Internal = |ER|-GPP; External = flux - Internal. Cross-check: Diamond and Bertuzzo (2025, JGR 10.1029/2024JG008401) model NEP_C for Union = -0.07 mol C/m2/d (0.84 gC, vs 0.98 here) and Phelps = -0.10 mol C/m2/d (1.20 gC, vs 4.76 here), but over 8-11 day August windows only, not season-long.</t>
  </si>
  <si>
    <t>Table 1: drainage basin 61.6 km2 [as printed: GPP=NA ; ER=NA ; flux=NA ]  || 2026-09-07 RERUN: Derived from lol210195-supplement1.csv (15-min series, 5 sites). CO2 flux = kCO2*(CO2-CO2sat) with kCO2 = K600.daily*(ScCO2/600)^-0.5, Wanninkhof (2014) freshwater Sc; umol/L * m/d = mmol/m2/d, x12.011/1000 -&gt; gC/m2/d. GPP/ER converted from g-O2 with RQ=PQ=1 (x0.375445). Daily values filtered to physically valid days (GPP&gt;=0, ER&lt;=0): thom 67/67, unio 70/144, hubb 52/202, nepa 40/40, phel 78/176 days; supplement contains unconstrained streamMetabolizer output with implausible positive-ER/negative-GPP days. Site medians reported (matches paper convention: paper quotes Connecticut mainstem median GPP 19.4 g-O2/m2/d = 7.28 gC, reproduced exactly). Fluxes/internal/external computed on days with BOTH valid metabolism and CO2; pH/temp/Q are full-record medians. Site codes: thom=Connecticut R. at Thompsonville, unio=Farmington R. at Unionville, hubb=Hubbard, nepa=Nepaug, phel=Phelps. Internal = |ER|-GPP; External = flux - Internal. Cross-check: Diamond and Bertuzzo (2025, JGR 10.1029/2024JG008401) model NEP_C for Union = -0.07 mol C/m2/d (0.84 gC, vs 0.98 here) and Phelps = -0.10 mol C/m2/d (1.20 gC, vs 4.76 here), but over 8-11 day August windows only, not season-long.</t>
  </si>
  <si>
    <t>Table 1: drainage basin 53.6 km2; closed canopy [as printed: GPP=NA ; ER=NA ; flux=NA ]  || 2026-09-07 RERUN: Derived from lol210195-supplement1.csv (15-min series, 5 sites). CO2 flux = kCO2*(CO2-CO2sat) with kCO2 = K600.daily*(ScCO2/600)^-0.5, Wanninkhof (2014) freshwater Sc; umol/L * m/d = mmol/m2/d, x12.011/1000 -&gt; gC/m2/d. GPP/ER converted from g-O2 with RQ=PQ=1 (x0.375445). Daily values filtered to physically valid days (GPP&gt;=0, ER&lt;=0): thom 67/67, unio 70/144, hubb 52/202, nepa 40/40, phel 78/176 days; supplement contains unconstrained streamMetabolizer output with implausible positive-ER/negative-GPP days. Site medians reported (matches paper convention: paper quotes Connecticut mainstem median GPP 19.4 g-O2/m2/d = 7.28 gC, reproduced exactly). Fluxes/internal/external computed on days with BOTH valid metabolism and CO2; pH/temp/Q are full-record medians. Site codes: thom=Connecticut R. at Thompsonville, unio=Farmington R. at Unionville, hubb=Hubbard, nepa=Nepaug, phel=Phelps. Internal = |ER|-GPP; External = flux - Internal. Cross-check: Diamond and Bertuzzo (2025, JGR 10.1029/2024JG008401) model NEP_C for Union = -0.07 mol C/m2/d (0.84 gC, vs 0.98 here) and Phelps = -0.10 mol C/m2/d (1.20 gC, vs 4.76 here), but over 8-11 day August windows only, not season-long.</t>
  </si>
  <si>
    <t>Table 1: drainage basin 6.5 km2; smallest, closed-canopy headwater stream; qualitatively weakest metabolism (Fig. 2, Table S1) [as printed: GPP=NA ; ER=NA ; flux=NA ]  || 2026-09-07 RERUN: Derived from lol210195-supplement1.csv (15-min series, 5 sites). CO2 flux = kCO2*(CO2-CO2sat) with kCO2 = K600.daily*(ScCO2/600)^-0.5, Wanninkhof (2014) freshwater Sc; umol/L * m/d = mmol/m2/d, x12.011/1000 -&gt; gC/m2/d. GPP/ER converted from g-O2 with RQ=PQ=1 (x0.375445). Daily values filtered to physically valid days (GPP&gt;=0, ER&lt;=0): thom 67/67, unio 70/144, hubb 52/202, nepa 40/40, phel 78/176 days; supplement contains unconstrained streamMetabolizer output with implausible positive-ER/negative-GPP days. Site medians reported (matches paper convention: paper quotes Connecticut mainstem median GPP 19.4 g-O2/m2/d = 7.28 gC, reproduced exactly). Fluxes/internal/external computed on days with BOTH valid metabolism and CO2; pH/temp/Q are full-record medians. Site codes: thom=Connecticut R. at Thompsonville, unio=Farmington R. at Unionville, hubb=Hubbard, nepa=Nepaug, phel=Phelps. Internal = |ER|-GPP; External = flux - Internal. Cross-check: Diamond and Bertuzzo (2025, JGR 10.1029/2024JG008401) model NEP_C for Union = -0.07 mol C/m2/d (0.84 gC, vs 0.98 here) and Phelps = -0.10 mol C/m2/d (1.20 gC, vs 4.76 here), but over 8-11 day August windows only, not season-long.</t>
  </si>
  <si>
    <t>10.1002/iroh.70038</t>
  </si>
  <si>
    <t>Seven tropical riverine systems (Broa, Espraiado, Canchim, Mineirinho, Engenho, Quilombo, Monjolinho), state of São Paulo, southeastern Brazil</t>
  </si>
  <si>
    <t>CO2 attributed mainly to in-stream ecosystem respiration (net heterotrophy; ER was the significant positive predictor of FCO2), with additional contributions from sediment inorganic carbon (carbonate dissolution/geogenic DIC) and from CH4 fluxes (methane oxidation); treated wastewater inputs elevated emissions at Quilombo and Monjolinho. No quantitative internal/external partition is given.</t>
  </si>
  <si>
    <t>chamber</t>
  </si>
  <si>
    <t>equation</t>
  </si>
  <si>
    <t>Five campaigns for gases, water chemistry and metabolism: March 2019, July 2019, February 2020, December 2020, July 2021; metabolism from 1-3 d sensor deployments within each campaign</t>
  </si>
  <si>
    <t>pH: Table 2</t>
  </si>
  <si>
    <t>Catchment 311.9 ha, 100% native vegetation (Table 1); GPP:ER median 0.013 (0.011-0.029) in Results 3.3 [as printed: GPP=NA g O2 m-2 d-1; ER=NA g O2 m-2 d-1; flux=NA mmol m-2 d-1]  || 2026-09-07 RERUN: CO2 flux: Mineirinho (67), Espraiado (1154) and Quilombo (861) mmol/m2/d are medians quoted in Results 3.2; Broa (375), Canchim (270), Engenho (380) and Monjolinho (450) DIGITIZED from Figure 2 top-left panel (log axis). Axis calibration validated by reproducing Espraiado as 1173 vs 1154 published (+1.6%); residual uncertainty is in identifying the median line, estimated +/-15%. GPP/ER: Canchim GPP (0.001), Quilombo GPP (0.320), Mineirinho ER (0.73) and Espraiado ER (22.77) g-O2/m2/d are quoted in Results 3.3; the remainder DIGITIZED from Figure 3 (log axes) - Broa GPP 0.14 / ER 11.5, Espraiado GPP 0.10, Canchim ER 2.5, Mineirinho GPP 0.0067, Engenho GPP 0.081 / ER 1.05, Quilombo ER 9.7, Monjolinho GPP 0.35 / ER 10.4. Digitized readings independently cross-checked against the per-site GPP:ER ratios quoted in Results 3.2 (Broa 0.013, Espraiado 0.004, Canchim 0.001, Mineirinho 0.019, Engenho 0.067, Quilombo 0.036, Monjolinho 0.036): agreement within about 10% for 5 of the 7 sites. Study-wide pooled row CO2 flux = median of the 7 site medians (380 mmol/m2/d). All converted mmol CO2 x0.012011 -&gt; gC; g-O2 x0.375445 -&gt; gC (RQ=1). Values are MEDIANS (Stat_Type), matching how the paper reports them.</t>
  </si>
  <si>
    <t>GPP: Results 3.3 (range 0.0001–0.04); pH: Table 2</t>
  </si>
  <si>
    <t>Catchment 88.8 ha, 64.8% pasture; GPP:ER median 0.001 (0.0001–0.017) [as printed: GPP=0.001 g O2 m-2 d-1; ER=NA g O2 m-2 d-1; flux=NA mmol m-2 d-1]  || 2026-09-07 RERUN: CO2 flux: Mineirinho (67), Espraiado (1154) and Quilombo (861) mmol/m2/d are medians quoted in Results 3.2; Broa (375), Canchim (270), Engenho (380) and Monjolinho (450) DIGITIZED from Figure 2 top-left panel (log axis). Axis calibration validated by reproducing Espraiado as 1173 vs 1154 published (+1.6%); residual uncertainty is in identifying the median line, estimated +/-15%. GPP/ER: Canchim GPP (0.001), Quilombo GPP (0.320), Mineirinho ER (0.73) and Espraiado ER (22.77) g-O2/m2/d are quoted in Results 3.3; the remainder DIGITIZED from Figure 3 (log axes) - Broa GPP 0.14 / ER 11.5, Espraiado GPP 0.10, Canchim ER 2.5, Mineirinho GPP 0.0067, Engenho GPP 0.081 / ER 1.05, Quilombo ER 9.7, Monjolinho GPP 0.35 / ER 10.4. Digitized readings independently cross-checked against the per-site GPP:ER ratios quoted in Results 3.2 (Broa 0.013, Espraiado 0.004, Canchim 0.001, Mineirinho 0.019, Engenho 0.067, Quilombo 0.036, Monjolinho 0.036): agreement within about 10% for 5 of the 7 sites. Study-wide pooled row CO2 flux = median of the 7 site medians (380 mmol/m2/d). All converted mmol CO2 x0.012011 -&gt; gC; g-O2 x0.375445 -&gt; gC (RQ=1). Values are MEDIANS (Stat_Type), matching how the paper reports them.</t>
  </si>
  <si>
    <t>Catchment 77.6 ha, 91.4% cropland; GPP:ER median 0.067 (0.004–0.160) [as printed: GPP=NA g O2 m-2 d-1; ER=NA g O2 m-2 d-1; flux=NA mmol m-2 d-1]  || 2026-09-07 RERUN: CO2 flux: Mineirinho (67), Espraiado (1154) and Quilombo (861) mmol/m2/d are medians quoted in Results 3.2; Broa (375), Canchim (270), Engenho (380) and Monjolinho (450) DIGITIZED from Figure 2 top-left panel (log axis). Axis calibration validated by reproducing Espraiado as 1173 vs 1154 published (+1.6%); residual uncertainty is in identifying the median line, estimated +/-15%. GPP/ER: Canchim GPP (0.001), Quilombo GPP (0.320), Mineirinho ER (0.73) and Espraiado ER (22.77) g-O2/m2/d are quoted in Results 3.3; the remainder DIGITIZED from Figure 3 (log axes) - Broa GPP 0.14 / ER 11.5, Espraiado GPP 0.10, Canchim ER 2.5, Mineirinho GPP 0.0067, Engenho GPP 0.081 / ER 1.05, Quilombo ER 9.7, Monjolinho GPP 0.35 / ER 10.4. Digitized readings independently cross-checked against the per-site GPP:ER ratios quoted in Results 3.2 (Broa 0.013, Espraiado 0.004, Canchim 0.001, Mineirinho 0.019, Engenho 0.067, Quilombo 0.036, Monjolinho 0.036): agreement within about 10% for 5 of the 7 sites. Study-wide pooled row CO2 flux = median of the 7 site medians (380 mmol/m2/d). All converted mmol CO2 x0.012011 -&gt; gC; g-O2 x0.375445 -&gt; gC (RQ=1). Values are MEDIANS (Stat_Type), matching how the paper reports them.</t>
  </si>
  <si>
    <t>ER: Results 3.3 (range 5.40–35.16); flux: Results 3.2 (range 311–1701); pH: Table 2</t>
  </si>
  <si>
    <t>Catchment 299.7 ha; GPP:ER median 0.004 (0.0002–0.015); flux per water surface area (floating chamber) [as printed: GPP=NA g O2 m-2 d-1; ER=22.77 g O2 m-2 d-1; flux=1154 mmol m-2 d-1]  || 2026-09-07 RERUN: CO2 flux: Mineirinho (67), Espraiado (1154) and Quilombo (861) mmol/m2/d are medians quoted in Results 3.2; Broa (375), Canchim (270), Engenho (380) and Monjolinho (450) DIGITIZED from Figure 2 top-left panel (log axis). Axis calibration validated by reproducing Espraiado as 1173 vs 1154 published (+1.6%); residual uncertainty is in identifying the median line, estimated +/-15%. GPP/ER: Canchim GPP (0.001), Quilombo GPP (0.320), Mineirinho ER (0.73) and Espraiado ER (22.77) g-O2/m2/d are quoted in Results 3.3; the remainder DIGITIZED from Figure 3 (log axes) - Broa GPP 0.14 / ER 11.5, Espraiado GPP 0.10, Canchim ER 2.5, Mineirinho GPP 0.0067, Engenho GPP 0.081 / ER 1.05, Quilombo ER 9.7, Monjolinho GPP 0.35 / ER 10.4. Digitized readings independently cross-checked against the per-site GPP:ER ratios quoted in Results 3.2 (Broa 0.013, Espraiado 0.004, Canchim 0.001, Mineirinho 0.019, Engenho 0.067, Quilombo 0.036, Monjolinho 0.036): agreement within about 10% for 5 of the 7 sites. Study-wide pooled row CO2 flux = median of the 7 site medians (380 mmol/m2/d). All converted mmol CO2 x0.012011 -&gt; gC; g-O2 x0.375445 -&gt; gC (RQ=1). Values are MEDIANS (Stat_Type), matching how the paper reports them.</t>
  </si>
  <si>
    <t>ER: Results 3.3 (range 0.02–1.52); flux: Results 3.2 (range 49–106); pH: Table 2</t>
  </si>
  <si>
    <t>Catchment 126.7 ha, 61.9% urban; GPP:ER median 0.019 (0.002–0.167) [as printed: GPP=NA g O2 m-2 d-1; ER=0.73 g O2 m-2 d-1; flux=67 mmol m-2 d-1]  || 2026-09-07 RERUN: CO2 flux: Mineirinho (67), Espraiado (1154) and Quilombo (861) mmol/m2/d are medians quoted in Results 3.2; Broa (375), Canchim (270), Engenho (380) and Monjolinho (450) DIGITIZED from Figure 2 top-left panel (log axis). Axis calibration validated by reproducing Espraiado as 1173 vs 1154 published (+1.6%); residual uncertainty is in identifying the median line, estimated +/-15%. GPP/ER: Canchim GPP (0.001), Quilombo GPP (0.320), Mineirinho ER (0.73) and Espraiado ER (22.77) g-O2/m2/d are quoted in Results 3.3; the remainder DIGITIZED from Figure 3 (log axes) - Broa GPP 0.14 / ER 11.5, Espraiado GPP 0.10, Canchim ER 2.5, Mineirinho GPP 0.0067, Engenho GPP 0.081 / ER 1.05, Quilombo ER 9.7, Monjolinho GPP 0.35 / ER 10.4. Digitized readings independently cross-checked against the per-site GPP:ER ratios quoted in Results 3.2 (Broa 0.013, Espraiado 0.004, Canchim 0.001, Mineirinho 0.019, Engenho 0.067, Quilombo 0.036, Monjolinho 0.036): agreement within about 10% for 5 of the 7 sites. Study-wide pooled row CO2 flux = median of the 7 site medians (380 mmol/m2/d). All converted mmol CO2 x0.012011 -&gt; gC; g-O2 x0.375445 -&gt; gC (RQ=1). Values are MEDIANS (Stat_Type), matching how the paper reports them.</t>
  </si>
  <si>
    <t>Catchment 14491.8 ha, 58.7% urban; DIC median 13.2 mg L-1; GPP:ER median 0.036 (0.005–0.110) [as printed: GPP=NA g O2 m-2 d-1; ER=NA g O2 m-2 d-1; flux=NA mmol m-2 d-1]  || 2026-09-07 RERUN: CO2 flux: Mineirinho (67), Espraiado (1154) and Quilombo (861) mmol/m2/d are medians quoted in Results 3.2; Broa (375), Canchim (270), Engenho (380) and Monjolinho (450) DIGITIZED from Figure 2 top-left panel (log axis). Axis calibration validated by reproducing Espraiado as 1173 vs 1154 published (+1.6%); residual uncertainty is in identifying the median line, estimated +/-15%. GPP/ER: Canchim GPP (0.001), Quilombo GPP (0.320), Mineirinho ER (0.73) and Espraiado ER (22.77) g-O2/m2/d are quoted in Results 3.3; the remainder DIGITIZED from Figure 3 (log axes) - Broa GPP 0.14 / ER 11.5, Espraiado GPP 0.10, Canchim ER 2.5, Mineirinho GPP 0.0067, Engenho GPP 0.081 / ER 1.05, Quilombo ER 9.7, Monjolinho GPP 0.35 / ER 10.4. Digitized readings independently cross-checked against the per-site GPP:ER ratios quoted in Results 3.2 (Broa 0.013, Espraiado 0.004, Canchim 0.001, Mineirinho 0.019, Engenho 0.067, Quilombo 0.036, Monjolinho 0.036): agreement within about 10% for 5 of the 7 sites. Study-wide pooled row CO2 flux = median of the 7 site medians (380 mmol/m2/d). All converted mmol CO2 x0.012011 -&gt; gC; g-O2 x0.375445 -&gt; gC (RQ=1). Values are MEDIANS (Stat_Type), matching how the paper reports them.</t>
  </si>
  <si>
    <t>GPP: Results 3.3 (range 0.14–0.96); flux: Results 3.2 (range 500–1072); pH: Table 2</t>
  </si>
  <si>
    <t>Catchment 34073.8 ha, 2.6% urban but continuous treated effluent; highest gas exchange velocities: k(CO2)=22.0 cm h-1 (1.7–64.8), k(CH4)=29.5 (5.1–52.5); GPP:ER median 0.036 (0.017–0.097) [as printed: GPP=0.32 g O2 m-2 d-1; ER=NA g O2 m-2 d-1; flux=861 mmol m-2 d-1]  || 2026-09-07 RERUN: CO2 flux: Mineirinho (67), Espraiado (1154) and Quilombo (861) mmol/m2/d are medians quoted in Results 3.2; Broa (375), Canchim (270), Engenho (380) and Monjolinho (450) DIGITIZED from Figure 2 top-left panel (log axis). Axis calibration validated by reproducing Espraiado as 1173 vs 1154 published (+1.6%); residual uncertainty is in identifying the median line, estimated +/-15%. GPP/ER: Canchim GPP (0.001), Quilombo GPP (0.320), Mineirinho ER (0.73) and Espraiado ER (22.77) g-O2/m2/d are quoted in Results 3.3; the remainder DIGITIZED from Figure 3 (log axes) - Broa GPP 0.14 / ER 11.5, Espraiado GPP 0.10, Canchim ER 2.5, Mineirinho GPP 0.0067, Engenho GPP 0.081 / ER 1.05, Quilombo ER 9.7, Monjolinho GPP 0.35 / ER 10.4. Digitized readings independently cross-checked against the per-site GPP:ER ratios quoted in Results 3.2 (Broa 0.013, Espraiado 0.004, Canchim 0.001, Mineirinho 0.019, Engenho 0.067, Quilombo 0.036, Monjolinho 0.036): agreement within about 10% for 5 of the 7 sites. Study-wide pooled row CO2 flux = median of the 7 site medians (380 mmol/m2/d). All converted mmol CO2 x0.012011 -&gt; gC; g-O2 x0.375445 -&gt; gC (RQ=1). Values are MEDIANS (Stat_Type), matching how the paper reports them.</t>
  </si>
  <si>
    <t>10.1002/lno.12226</t>
  </si>
  <si>
    <t>Fuirosos (non-perennial) and Font del Regàs (perennial) headwater streams, La Tordera catchment, Catalonia, NE Spain</t>
  </si>
  <si>
    <t>CO2 partitioned between in-stream net ecosystem production (aerobic metabolism, mainly ER fuelled by benthic/dissolved organic matter) and 'other sources' = lateral riparian groundwater inputs plus in-stream anaerobic respiration. Riparian groundwater CO2 = 41.5 ± 0.5 mg CO2-C L-1 (non-perennial, n=2) and 16.9 ± 1.2 mg CO2-C L-1 (perennial, n=4); groundwater inputs assumed zero (losing reach) at the non-perennial stream and 3% of Q at the perennial stream.</t>
  </si>
  <si>
    <t>headspace+k</t>
  </si>
  <si>
    <t>k-Q regression</t>
  </si>
  <si>
    <t>Non-perennial (Fuirosos): sensor CO2/O2 15 May-30 Jun 2019 (47 reliable d); metabolism only during surface-flow connectivity 15 May-16 Jun 2019 (n=30 d). Perennial (Font del Regàs): 6 May-9 Jul 2019, 16 reliable CO2 d and 65 O2 d (metabolism n=37 d; %NEP n=16 d). Groundwater CO2 sampled 05 &amp; 09 Jul (non-perennial) and 06 May &amp; 17 Jul (perennial).</t>
  </si>
  <si>
    <t>AUTHOR</t>
  </si>
  <si>
    <t>total daily CO2 emission flux</t>
  </si>
  <si>
    <t>mean</t>
  </si>
  <si>
    <t>GPP: Table 1 (also 0.24 ± 0.02 g O2 m-2 d-1, Results); ER: Table 1 (also 9.89 ± 0.15 g O2 m-2 d-1, Results); flux: Table 1 (per stream water surface area); internal: Table 1 (|NEP|, RQ=1)</t>
  </si>
  <si>
    <t>Metabolism converted from g O2 m-2 d-1 to g CO2-C m-2 d-1 assuming RQ = 1; RQ 0.8-1.2 sensitivity given. Fluxes per stream surface area; K600 = 169 ± 5.6 d-1, depth 9.7 ± 0.9 cm, v = 0.25 m s-1; CO2 turnover reach length 453 ± 30 m; groundwater input 1.63 L s-1 (3% of Q); drainage area 14.4 km2; wetted width 3.1 ± 0.4 m. [authors already carbon-referenced GPP/ER; no O2-&gt;C applied] [as printed: GPP=0.09 g C m-2 d-1; ER=3.71 g C m-2 d-1; flux=6.7 g C m-2 d-1]</t>
  </si>
  <si>
    <t>aggregate row</t>
  </si>
  <si>
    <t>GPP: Table 1 (also 0.42 ± 0.05 g O2 m-2 d-1, Results); ER: Table 1 (also 3.8 ± 0.39 g O2 m-2 d-1, Results); flux: Table 1 (per stream water surface area); internal: Table 1 (|NEP|, RQ=1)</t>
  </si>
  <si>
    <t>Metabolism converted from g O2 m-2 d-1 to g CO2-C m-2 d-1 assuming RQ = 1; uncertainty explored for RQ 0.8-1.2. NEP = GPP - ER. Fluxes are per stream surface area; K600 = 19.3 ± 9.9 d-1, depth 6.2 ± 1.6 cm, v = 0.019 m s-1; CO2 turnover reach length 303 ± 87 m; drainage area 9.9 km2; wetted width 2.4 ± 0.5 m. [authors already carbon-referenced GPP/ER; no O2-&gt;C applied] [as printed: GPP=0.16 g C m-2 d-1; ER=1.43 g C m-2 d-1; flux=2.57 g C m-2 d-1]</t>
  </si>
  <si>
    <t>10.1002/lno.12207</t>
  </si>
  <si>
    <t>Five USA stream and river reaches spanning 0.4-3794 km2: Walker Branch TN, Black Earth Creek WI, East Canyon Creek UT, Medina River TX, Potomac South Branch WV</t>
  </si>
  <si>
    <t>Whole-stream ER partitioned by inverse model into four organic-matter sources (autochthonous GPP-derived, leaf litter, discharge-delivered allochthonous, and a stable sediment/DOM baseline stock). NOTE: this is a partition of RESPIRATION SUBSTRATE, not of CO2 emission; the Internal column here is the standard |ER|-GPP, not the paper's source split</t>
  </si>
  <si>
    <t>At least four consecutive years of daily metabolism per site; Black Earth Creek CO2 series 2009-2019</t>
  </si>
  <si>
    <t>DERIVED</t>
  </si>
  <si>
    <t>not applicable - no CO2 flux available</t>
  </si>
  <si>
    <t>Table 1 (Mean GPP, Mean ER, mean discharge, mean water temperature); Black Earth Creek ancillary values from the supplied file 'Bertuzzo et al 2022-Black Earth.csv'</t>
  </si>
  <si>
    <t>NEW PAPER (L&amp;O 2022, doi 10.1002/lno.12207). GPP and ER from Table 1 (Mean GPP and Mean ER, g O2 m-2 yr-1), divided by 365 and converted with RQ=PQ=1 (x0.375445) to gC/m2/d. Internal = |ER| - GPP. Discharge and water temperature also from Table 1. CO2 flux NOT COMPUTED: the paper reports no k600 and no CO2 flux, and only ONE of the five sites (Black Earth Creek, WI) has CO2 data in the supplied file Bertuzzo et al 2022-Black Earth.csv (2009-2019 daily; median pCO2 3410 uatm, pH 7.73, water temp 10.17 C, Q 0.374 m3/s - Q matches Table 1's 0.39, validating the file). That file contains no K600, and the paper gives no reach slope or velocity, so k600 cannot be derived. Excess CO2 over air-equilibrium at Black Earth is 139.7 umol/L (median), giving a flux of 3.4 / 8.4 / 16.8 / 33.6 gC/m2/d for k600 = 2 / 5 / 10 / 20 m/d - too k-sensitive to assign a single value. TO CLOSE THIS GAP: supply a k600, or a reach slope and velocity, for Black Earth Creek (USGS 05406457). NOTE: the file in the rerun folder is Black Earth Creek, not Walker Branch as described in the request.  || 2026-09-08 ROUND2: CO2 flux 4.135 gC/m2/d computed from the supplied 'Black Earth K600.tsv' plus the daily CO2/temperature series. WARNING ON THE K600 FILE: it contains only K600_daily_sigma (mean 2.8736, 95% CI 2.784-2.963), which in streamMetabolizer is the POOLING STANDARD DEVIATION of daily K600 around the K600~Q relationship - a dispersion hyperparameter, NOT the gas transfer velocity itself. It has been used here as if it were K600 = 2.874 m/d because that is the only K600-like number supplied. To make this value trustworthy, export the K600.daily column (get_params(fit)$K600.daily, or the 'daily' table of the fit) and I will recompute. Method: kCO2 = K600*(ScCO2/600)^-0.5 (Wanninkhof 2014 freshwater Sc); excess CO2 = KH(T)*(pCO2-400); daily flux then median over 712 days with valid CO2 and temperature. Median kCO2 2.227 m/d, median excess CO2 139.7 umol/L.  || 2026-09-08 ROUND3: CO2 flux RECOMPUTED as 5.287 gC/m2/d using k600 = 3.674 m/d, the mean of the four Black Earth Creek AT CROSS PLAINS entries in the Raymond et al. (2012) compilation supplied as raymondk.csv (k600 = 5.087, 4.177, 2.974, 2.459 m/d). Cross Plains is the correct gauge for this site (USGS 05406457); the compilation's Black Earth Creek near Mazomanie entries (k600 1.01-1.09 m/d) are a different, larger and slower reach ~9 km downstream and were excluded. This SUPERSEDES the earlier value of 4.135 gC/m2/d, which had used K600_daily_sigma (a pooling standard deviation, not a gas transfer velocity) as a placeholder. Method unchanged: kCO2 = k600*(ScCO2/600)^-0.5, excess CO2 = KH(T)*(pCO2-400), daily flux then median over 712 days with valid CO2 and temperature. External = flux - internal.</t>
  </si>
  <si>
    <t>2026-09-07</t>
  </si>
  <si>
    <t>10.1029/2022JG007048</t>
  </si>
  <si>
    <t>New Hope Creek, Piedmont of North Carolina, USA; 8.5 km low-gradient blackwater study reach draining to Jordan Lake</t>
  </si>
  <si>
    <t>CO2 emitted partitioned into in-stream net ecosystem metabolism (NEP, converted with a measured RQ of 0.8) and the residual, attributed to groundwater and hyporheic inputs of terrestrially respired CO2</t>
  </si>
  <si>
    <t>Approximately biweekly synoptic sampling, November 2019 - March 2020; 58 samples across 6 sites; continuous O2 metabolism at the same sites</t>
  </si>
  <si>
    <t>REPORTED</t>
  </si>
  <si>
    <t>total CO2 emission to atmosphere</t>
  </si>
  <si>
    <t>Carter et al. 2022 archived data release: fraction_of_instream_production_CO2_and_CH4CO2ratios.csv (columns CO2_flux, NEP_CO2, instr, GPP, ER, K600, pH, discharge, watertemp_C) and site_data/NHCsite_metadata.csv for reach positions; cross-read against the paper Results and Methods 2.4</t>
  </si>
  <si>
    <t>NEW SITE ROWS added from Carter et al. 2022 archived data (fraction_of_instream_production_CO2_and_CH4CO2ratios.csv, 58 samples across 6 sites, Nov 2019-Mar 2020, New Hope Creek NC). CO2_flux = site mean of the CO2_flux column converted g CO2 -&gt; gC (x0.27292); verified against the file's own K_CO2*(CO2.ugL-CO2.sat)*depth. Internal_Pct = flux-weighted cumulative share sum(min(NEP_CO2,CO2_flux),0)/sum(CO2_flux), which is the paper's own definition (Of the cumulative 161 g CO2 m-2 effluxed... 64% can be accounted for by net heterotrophy); pooled reproduction = 72.2% vs 64% published, because the archived file totals 136 g CO2 m-2 vs 161 published (about 25 g CO2 of high-flux low-fraction samples absent from the archive). CAVEAT: Carter uses RQ = 0.8 (measured), not the RQ=1 used elsewhere in this workbook; Internal is the author's RQ=0.8 NEP_CO2. GPP/ER are reported with RQ=1 for cross-study comparability, so |ER|-GPP will NOT equal Internal for these rows.</t>
  </si>
  <si>
    <t>New Hope Creek, North Carolina Piedmont (Duke Forest), USA; 8.5 km third-order reach, 81 km2 watershed</t>
  </si>
  <si>
    <t>In-stream aerobic metabolism (net heterotrophy) accounted for 64% of cumulative CO2 efflux; groundwater fluxes were low (mean -0.04 m3 m-2 d-1, stream losing on 7 of 11 dates) and judged unimportant; terrestrial/groundwater inputs dominated only on the falling limb of a large storm (late Feb, 17% instream)</t>
  </si>
  <si>
    <t>Dissolved gas/water chemistry: 11 dates 11 Nov 2019-21 Mar 2020 at 6 sites (58 site-by-date samples); continuous DO/metabolism: Nov 2019-Mar 2020 (daily GPP/ER on each gas sampling date)</t>
  </si>
  <si>
    <t>FRACTION</t>
  </si>
  <si>
    <t>cumulative total CO2 efflux across all sampling dates and locations (161 g CO2 m-2)</t>
  </si>
  <si>
    <t>flux: Results 3.1, p.8: 2.9 ± 2.5 g m-2 d-1 (range -0.4 to 10.5, Discussion 4.1); internal 64%: Results 3.2, p.9: 'Of the cumulative 161 g CO2 m-2 effluxed ... 64% can be accounted for by net heterotrophy' (RQ=0.8); seasonal values: autumn 78%±20%, spring 27%±40%, late Feb storm 17%±40%</t>
  </si>
  <si>
    <t>Metabolism modelled in g O2 m-2 d-1 (volumetric rates converted with depth); authors converted O2-based NEP to CO2 with RQ = 0.8 mol CO2 per mol O2 and photosynthetic quotient 1.25. Cumulative CO2 efflux 161 g CO2 m-2 over all sampling dates/locations. Mean K600 = 7 ± 4 d-1. [as printed: GPP=NA g O2 m-2 d-1; ER=NA g O2 m-2 d-1; flux=2.9 g m-2 d-1 (CO2, stream surface area)]  || 2026-09-07 RERUN: UNIT CORRECTION: previous value 2.9 was g CO2 m-2 d-1 (paper Results: nearly always effluxing CO2, 2.9 +/- 2.5 g m-2 d-1), NOT gC. Corrected to 2.9 x 12.011/44.009 = 0.791 gC/m2/d. Internal/External rescaled at the paper's headline 64% in-stream share. GPP/ER/pH/temp = means over all 58 samples in fraction_of_instream_production_CO2_and_CH4CO2ratios.csv (GPP/ER g-O2 x0.375445).</t>
  </si>
  <si>
    <t>10.1002/2013gb004661</t>
  </si>
  <si>
    <t>Northern Highlands Lake District (NHLD), northern Wisconsin/Michigan, USA; Trout Lake catchment (Allequash, North, Stevenson, Mann Creeks) and adjacent catchments</t>
  </si>
  <si>
    <t>Groundwater discharge (shallow, precipitation-derived groundwater enriched by passage through biologically active organic-rich riparian/peat soils and hyporheic sediments) sets a baseline CO2 level, supplemented by in-stream respiration (net heterotrophy of DOC-rich water); deep hillslope groundwater (CO2 depleted by weathering, 20-85 uatm), lake-recharge groundwater (&lt;2000 uatm) and upstream lake outflows were shown to be incapable of supporting the observed stream supersaturation</t>
  </si>
  <si>
    <t>weekly gas fluxes/pCO2 and chamber-derived KCO2 May-Sep 2012 (n=93); longitudinal transects 2012 (5 dates); regional 52-stream pCO2/pCH4 survey May-Aug 2006; in-stream metabolism Jul-Sep 2001 (23 days at Allequash Creek); groundwater survey 2001-2002</t>
  </si>
  <si>
    <t>O2-based values (Table 4): mean GPP 181 (±107) mmol O2 m-3 d-1, mean NEP -479 (±153) mmol O2 m-3 d-1; respiration printed as '61 (±128)' but NEP arithmetic (181-661=-480) indicates 661 mmol O2 m-3 d-1. Units printed as mmol m-3 d-1 in Table 4 but as mmol m-2 d-1 in the Discussion (sect. 5.2.3) - inconsistent in the paper. KO2 = 4.8 m d-1 used, matched to chamber values; metabolism data from 2001, chamber fluxes from 2012 (time-window mismatch). Authors note the method does not correct for groundwater inputs. [authors already carbon-referenced GPP/ER; no O2-&gt;C applied] [as printed: GPP=209 mmol CO2 m-3 d-1; ER=857 mmol CO2 m-3 d-1; flux=NA ]  || 2026-09-07 RERUN: Metabolism from Table 4 (Allequash Creek, 23 days continuous data), read from the rendered table because the PDF text layer mis-orders the signs. CO2 column: Respiration 857, GPP -209, NEP 647 mmol/m2/d; internally consistent (857-209=648). Although Table 4's header says mmol m-3 d-1, the Discussion states these as AREAL: NEP was estimated to be 479 mmol O2 m-2 d-1 (CO2 production of 647 mmol m-2 d-1); the areal reading is used here. Converted x0.012011 -&gt; gC/m2/d: ER 10.293, GPP 2.510, Internal 7.771. CO2_flux LEFT BLANK: the paper reports no site-specific flux for Allequash. The only flux available is the 5-site WEBB weekly mean, 0.51 mol/m2/d = 6.126 gC/m2/d (Results 4.1), already carried in the separate NHLD regional row. If that were applied to Allequash the internal share would be 127%, i.e. over 100%, contradicting the paper's own conclusion that groundwater supplies an ADDITIONAL CO2 source; hence not applied. Figure 2 is a histogram of all weekly fluxes pooled, not per site.  || 2026-09-08 ROUND2: External completed as CO2_flux - Internal using the regional WEBB flux (6.120 gC/m2/d) that was entered for this row. Note the internal pathway (7.771) EXCEEDS that flux, giving an internal share of 127%; the flux is a 5-site regional weekly mean, not an Allequash-specific measurement, so the two are not strictly commensurate.</t>
  </si>
  <si>
    <t>10.1002/lno.11048</t>
  </si>
  <si>
    <t>Cairn Burn and Birnie Burn, Glensaugh research station, Aberdeenshire, north-east Scotland, UK</t>
  </si>
  <si>
    <t>CO2 partitioned into in-stream heterotrophic respiration of terrestrially derived DOC and 'land-derived CO2' delivered by groundwater and sub-surface soil water flows; DOC of terrestrial origin (delta-13C evidence); baseflow index 0.43, baseflow (groundwater + surface flushes) 40-95% of stable flows; Discussion states about two-thirds of CO2 degassing was of terrestrial origin and in-stream biotic emissions (NEP) about one-third</t>
  </si>
  <si>
    <t>DIC/pH-derived+k</t>
  </si>
  <si>
    <t>tracer injection</t>
  </si>
  <si>
    <t>Cairn Burn metabolism/continuous DO May 2007-Jul 2008 (255 daily estimates over 439 d); Birnie Burn metabolism May 2007-Oct 2007 (126 daily estimates over 184 d); weekly long-term water chemistry (DOC, pH, alkalinity) 2007-2008; groundwater spring samples 2006; soil water 2007-2008; POC Mar 2005-May 2007</t>
  </si>
  <si>
    <t>total stream CO2 emissions (evasion); separately, catchment-scale total C flux partitioning gave HR 10% ± 5%, land-derived CO2 28% ± 20%, HCO3 25% ± 10%, DOC 37% ± 17% (Results p.415, Fig. S7)</t>
  </si>
  <si>
    <t>Catchment area 0.76 km2; stream width w = 0.5 ± 0.1 m, length L = 1000 ± 200 m used for upscaling; RQ and PQ of 1; HR = ER + 0.5*GPP; mean NEP -5.8 g C m-2 d-1 (range -1.5 to -15.9); mean HR -2.4 g C m-2 d-1 (range -0.9 to -6.4); average DOC flux at outlet 4300 g C d-1 (range 1400-15,500) under low stable flows; eOC 22% ± 10% (01 May-31 Oct 2007); mean DOC 5.6 mg C L-1 (3.2-12.3); kCO2 = 0.81 kO2 [as printed: GPP=NA g O2 m-2 d-1; ER=NA g O2 m-2 d-1; flux=NA ]  || 2026-09-07 RERUN: REREAD FROM TEXT. Internal = in-stream heterotrophic respiration HR (Results, Carbon fluxes): Cairn Burn -4.4 gC/m2/d (range -1.6 to -12.6), Birnie Burn -2.4 (range -0.9 to -6.4). CO2 flux BACK-CALCULATED from the paper's own HR share of CO2 emissions (Results, Total CO2 emissions): Cairn 4.4/0.34 = 12.94 (annual average share 34% +/- 20%); Birnie 2.4/0.37 = 6.49 (37% +/- 21%, 01 May-31 Oct 2007). PREVIOUS VALUE CORRECTED: Cairn Internal was 0.002, which came from 0.9 +/- 0.4 g C m-2 yr-1, the annual HR per unit area of LAND (catchment), not per unit stream area per day. Birnie GPP 1.15 gC = midpoint of the stated 1-5 g-O2/m2/d (0.4-1.9 gC) range; Birnie ER 7.5 gC from ER of -20 g O2 m-2 d-1 (-7.5 g C m-2 d-1). Cross-check from the 4-way carbon partition (main Fig. 7 for Cairn; Supplement Fig. S7 for Birnie, digitized): Cairn HR 16% / land-derived CO2 33% / HCO3 22% / DOC 29% gives an HR share of CO2 emission of 16/49 = 32.7% (vs 34% used); Birnie HR 10% / land CO2 28% / HCO3 25% / DOC 37% gives 10/38 = 26.3% (vs 37% used; the difference is ratio-of-totals vs mean-of-daily-ratios). CAVEAT: Demars' internal is HR only (autotrophic respiration excluded, alpha=0.5), NARROWER than the |ER|-GPP convention used elsewhere here; the -NEP equivalents are Cairn 4.1 and Birnie 5.8 gC/m2/d. pH 7.10 = midpoint of the measured pH20C range 6.83-7.37. Underlying CO2 is EpCO2 from pH + Gran alkalinity + temperature; the author states about +/-50% uncertainty.</t>
  </si>
  <si>
    <t>total stream CO2 emissions (evasion); separately, catchment-scale total C flux partitioning gave in-stream HR 16% ± 7%, land-derived CO2 33% ± 20%, HCO3 22% ± 7%, DOC 29% ± 10% (Results p.414-415, Fig. 7)</t>
  </si>
  <si>
    <t>internal: Results, Carbon fluxes p.414 (annual average HR per unit area of land, 0.9 ± 0.4)</t>
  </si>
  <si>
    <t>Catchment area 0.99 km2 (0.90 km2 at flume); stream width w = 0.5 ± 0.1 m, length L = 1000 ± 200 m used for upscaling to catchment; RQ and PQ of 1 used to convert O2 to C; ER partitioned as HR = ER + 0.5*GPP (alpha = 0.5, uncertainty 0.2-0.8); mean NEP -4.1 g C m-2 d-1 (range -1 to -12.5); mean HR -4.4 g C m-2 d-1 (range -1.6 to -12.6); annual DOC flux per unit land area 1.7 ± 0.4 g C m-2 yr-1 under low flows and 3.9 ± 0.6 g C m-2 yr-1 including all flow events; organic carbon ecosystem efficiency (eOC) 36% ± 18% of DOC inputs respired (31% ± 15% for May-Oct 2007); 23% ± 11% of annual total DOC flux respired; kCO2 = 0.81 kO2 [as printed: GPP=NA g O2 m-2 d-1; ER=NA g O2 m-2 d-1; flux=NA ]  || 2026-09-07 RERUN: REREAD FROM TEXT. Internal = in-stream heterotrophic respiration HR (Results, Carbon fluxes): Cairn Burn -4.4 gC/m2/d (range -1.6 to -12.6), Birnie Burn -2.4 (range -0.9 to -6.4). CO2 flux BACK-CALCULATED from the paper's own HR share of CO2 emissions (Results, Total CO2 emissions): Cairn 4.4/0.34 = 12.94 (annual average share 34% +/- 20%); Birnie 2.4/0.37 = 6.49 (37% +/- 21%, 01 May-31 Oct 2007). PREVIOUS VALUE CORRECTED: Cairn Internal was 0.002, which came from 0.9 +/- 0.4 g C m-2 yr-1, the annual HR per unit area of LAND (catchment), not per unit stream area per day. Birnie GPP 1.15 gC = midpoint of the stated 1-5 g-O2/m2/d (0.4-1.9 gC) range; Birnie ER 7.5 gC from ER of -20 g O2 m-2 d-1 (-7.5 g C m-2 d-1). Cross-check from the 4-way carbon partition (main Fig. 7 for Cairn; Supplement Fig. S7 for Birnie, digitized): Cairn HR 16% / land-derived CO2 33% / HCO3 22% / DOC 29% gives an HR share of CO2 emission of 16/49 = 32.7% (vs 34% used); Birnie HR 10% / land CO2 28% / HCO3 25% / DOC 37% gives 10/38 = 26.3% (vs 37% used; the difference is ratio-of-totals vs mean-of-daily-ratios). CAVEAT: Demars' internal is HR only (autotrophic respiration excluded, alpha=0.5), NARROWER than the |ER|-GPP convention used elsewhere here; the -NEP equivalents are Cairn 4.1 and Birnie 5.8 gC/m2/d. pH 7.10 = midpoint of the measured pH20C range 6.83-7.37. Underlying CO2 is EpCO2 from pH + Gran alkalinity + temperature; the author states about +/-50% uncertainty.</t>
  </si>
  <si>
    <t>10.1029/2018jg004912</t>
  </si>
  <si>
    <t>Daly River and Howard River catchments, Northern Territory, tropical savanna of northern Australia</t>
  </si>
  <si>
    <t>CO2 was attributed mainly to groundwater-derived inorganic carbon (dissolved CO2* plus carbonate hardness) entering the rivers as baseflow, a mixture of biogenic (soil respiration, C3-C4) and geogenic (carbonate/dolomite dissolution) carbon; in-stream metabolism (DOC mineralization minus photosynthesis) was one to two orders of magnitude smaller than groundwater inputs; carbonate buffering (conversion of HCO3- to CO2*) replaced evading CO2 in high-inflow reaches; wetland/floodplain drainage also noted as a potential additional source</t>
  </si>
  <si>
    <t>modelled</t>
  </si>
  <si>
    <t>Longitudinal river surveys of 222Rn, pCO2, DIC and d13C-DIC during the dry season, June and August 2017 (baseflow snapshot); river metabolism (GPP/ER) taken from published dry-season averages of Townsend et al. (2011), not measured in this study; rainfall medians for 1986-2016</t>
  </si>
  <si>
    <t>total CO2 evasion flux</t>
  </si>
  <si>
    <t>GPP: Methods 2.4 (average dry season primary productivity, from Fig. 6a in Townsend et al., 2011); ER: Methods 2.4 (average dry season respiration, from Fig. 6a in Townsend et al., 2011); flux: Abstract; Results 3.4 (length-weighted mean from mass balance); Table 2; internal: Methods 2.4 (F_m, net C production); also 0.7 g C m-2 day-1 in Discussion 4.2; pH: Results 3.3 (7.94 +/- 0.10)</t>
  </si>
  <si>
    <t>Fluxes per river water surface area. Metabolism converted by authors to net C production 0.71 g C m-2 day-1 using photosynthetic quotient 1.2 and respiratory quotient 0.85 (Song et al., 2018). Per-reach evasion range 1.2-45.1 g C m-2 day-1. Evasion excluding carbonate buffering = 7.0 g C m-2 day-1 (Table 2). Groundwater also delivered 21.6 g C m-2 day-1 as carbonate hardness (ionic forms). Carbonate-buffering generation of CO2* accounted for 6-44% of total evasion flux in the middle reaches. Catchment-normalised values: DIC export 3.79 and CO2 evasion 11.80 mg C m-2(catchment) day-1; catchment area 47,100 km2. [as printed: GPP=2 g O2 m-2 day-1; ER=-4.2 g O2 m-2 day-1; flux=8.5 g C m-2 day-1]</t>
  </si>
  <si>
    <t>GPP: Methods 2.4 (same F_m applied to both rivers; from Townsend et al., 2011 Fig. 6a); ER: Methods 2.4 (same F_m applied to both rivers; from Townsend et al., 2011 Fig. 6a); flux: Abstract; Results 3.4 (length-weighted mean from mass balance); Table 2; internal: Methods 2.4 (unique F_m value used for both rivers); Discussion 4.2 states groundwater CO2* was 'almost three times as much as internal CO2 production'; pH: Results 3.3 (6.85 +/- 0.67)</t>
  </si>
  <si>
    <t>Fluxes per river water surface area. Per-reach evasion range 0.2-13.4 g C m-2 day-1. Evasion excluding carbonate buffering = 2.4 g C m-2 day-1 (Table 2). Groundwater also delivered 2.4 g C m-2 day-1 as carbonate hardness. Carbonate buffering generation of CO2* reached up to 60% of total evasion flux in the lowest reach. Catchment-normalised values: DIC export 1.59 and CO2 evasion 1.84 mg C m-2(catchment) day-1; catchment area 130 km2, river surface &lt;1 km2, inundated floodplain ~35 km2. [as printed: GPP=2 g O2 m-2 day-1; ER=-4.2 g O2 m-2 day-1; flux=2.3 g C m-2 day-1]</t>
  </si>
  <si>
    <t>10.1016/j.ecolind.2021.108136</t>
  </si>
  <si>
    <t>Yankou Reservoir Catchment (YRC, Yiwu, Zhejiang) and Tianmu Lake Catchment (TLC, Liyang, Jiangsu); headwater streams of the Changjiang (Yangtze) River, Southeastern China</t>
  </si>
  <si>
    <t>DIC sources stated as terrestrial soil-respired CO2 carried by runoff, carbonate (and silicate) weathering, in-stream respiration/mineralisation of terrestrially derived and autochthonous DOC, and atmospheric exchange. P/R &lt; 1 in most streams indicates heterotrophy with 'external C inputs as the major CO2 source'; in-stream DOC respiration was estimated to supply 31 +/- 16 % of emitted CO2 (range 11-69 %); measured delta13C-DIC more depleted than theoretical carbonate+soil-CO2 mixing values, especially at night, indicating respiration of organic carbon adds CO2.</t>
  </si>
  <si>
    <t>Diel (24-h) in-situ campaigns August-October 2020; metabolism (GPP/ER/HR/NEP), pCO2, CO2 emission and DOC spiraling all from the same campaigns; YRC streams (HSX, SH, JFZ) sampled Aug, Sep and Oct, TLC streams (XS, XZ, ZT) only Sep and Oct (Aug data absent in Table 2); delta13C-DIC sampled only at 14:00 and 04:00</t>
  </si>
  <si>
    <t>GPP: Results 3.2 (1.27 +/- 0.57); flux: Results 3.3 (141 +/- 118)</t>
  </si>
  <si>
    <t>Catchment area 150 km2; mean pCO2 2091 +/- 672 uatm; CO2 saturation 538 +/- 169 % [authors already carbon-referenced GPP/ER; no O2-&gt;C applied] [as printed: GPP=1.27 g C m-2 d-1; ER=NA g C m-2 d-1; flux=141 mg C m-2 h-1 (stream water surface)]  || 2026-09-07 RERUN: ROWS COLLAPSED: previously one row per stream x sampling month (Aug/Sep/Oct 2020); now one row per stream, arithmetic mean of the monthly values from the paper's Table 2 (GPP, ER, NEP already in gC/m2/d - no conversion needed). Note XZ and ZT are upstream and downstream sites on the same stream (Zhongtian) and are kept separate as distinct reaches. pH is CATCHMENT-level, digitized from Supplement Fig. S2a (day/night mean): YRC 7.90, TLC 7.95 - the paper reports no per-stream pH. Catchment aggregate rows: YRC ER 2.40 and TLC ER 1.37 gC/m2/d, and NEP-derived Internal (YRC 0.68, TLC 0.17), digitized from Supplement Fig. S3b,d. Per-stream CO2 flux is NOT recoverable: the paper reports CO2 emission rate only pooled by month (Fig. 4) or by catchment, never per stream.  || 2026-09-08 ROUND4: COLLAPSED TO CATCHMENT AVERAGES per user instruction: the six individual stream rows (HSX, JFZ, SH in YRC; XS, XZ, ZT in TLC) were deleted and Gong is now represented by these two catchment rows. CO2 flux, GPP, ER and Internal are retained as the paper's own catchment-level values (Results 3.3 for emission; supplement Fig. S3 for metabolism), NOT recomputed, because they are the published numbers. VALIDATION - averaging the three constituent streams reproduces them closely: YRC GPP 1.722 vs 1.720 published, ER 2.394 vs 2.400, Internal 0.672 vs 0.680; TLC GPP 1.208 vs 1.270, ER 1.378 vs 1.370, Internal 0.170 vs 0.170. Discharge is NEWLY FILLED as the arithmetic mean of the three constituent streams (YRC 0.587 m3/s from 1.407, 0.033, 0.320; TLC 1.190 m3/s from 0.980, 0.730, 1.860); this is a mean of stream discharges within the catchment, NOT a catchment outlet discharge. Water temperature is the user-supplied catchment average. Note this also resolves the earlier limitation that per-stream CO2 flux is not reported anywhere in this paper - at catchment scale the flux is a directly published value rather than a catchment mean applied to sites.</t>
  </si>
  <si>
    <t>GPP: Results 3.2 (1.72 +/- 0.92); flux: Results 3.3 (196 +/- 183)</t>
  </si>
  <si>
    <t>Catchment area 53.5 km2; mean pCO2 3948 +/- 3240 uatm; CO2 saturation 1007 +/- 839 % [authors already carbon-referenced GPP/ER; no O2-&gt;C applied] [as printed: GPP=1.72 g C m-2 d-1; ER=NA g C m-2 d-1; flux=196 mg C m-2 h-1 (stream water surface)]  || 2026-09-07 RERUN: ROWS COLLAPSED: previously one row per stream x sampling month (Aug/Sep/Oct 2020); now one row per stream, arithmetic mean of the monthly values from the paper's Table 2 (GPP, ER, NEP already in gC/m2/d - no conversion needed). Note XZ and ZT are upstream and downstream sites on the same stream (Zhongtian) and are kept separate as distinct reaches. pH is CATCHMENT-level, digitized from Supplement Fig. S2a (day/night mean): YRC 7.90, TLC 7.95 - the paper reports no per-stream pH. Catchment aggregate rows: YRC ER 2.40 and TLC ER 1.37 gC/m2/d, and NEP-derived Internal (YRC 0.68, TLC 0.17), digitized from Supplement Fig. S3b,d. Per-stream CO2 flux is NOT recoverable: the paper reports CO2 emission rate only pooled by month (Fig. 4) or by catchment, never per stream.  || 2026-09-08 ROUND4: COLLAPSED TO CATCHMENT AVERAGES per user instruction: the six individual stream rows (HSX, JFZ, SH in YRC; XS, XZ, ZT in TLC) were deleted and Gong is now represented by these two catchment rows. CO2 flux, GPP, ER and Internal are retained as the paper's own catchment-level values (Results 3.3 for emission; supplement Fig. S3 for metabolism), NOT recomputed, because they are the published numbers. VALIDATION - averaging the three constituent streams reproduces them closely: YRC GPP 1.722 vs 1.720 published, ER 2.394 vs 2.400, Internal 0.672 vs 0.680; TLC GPP 1.208 vs 1.270, ER 1.378 vs 1.370, Internal 0.170 vs 0.170. Discharge is NEWLY FILLED as the arithmetic mean of the three constituent streams (YRC 0.587 m3/s from 1.407, 0.033, 0.320; TLC 1.190 m3/s from 0.980, 0.730, 1.860); this is a mean of stream discharges within the catchment, NOT a catchment outlet discharge. Water temperature is the user-supplied catchment average. Note this also resolves the earlier limitation that per-stream CO2 flux is not reported anywhere in this paper - at catchment scale the flux is a directly published value rather than a catchment mean applied to sites.</t>
  </si>
  <si>
    <t>10.1007/s10021-025-01030-2</t>
  </si>
  <si>
    <t>Blaine Creek, an agricultural, spring-fed lake-outlet stream near Creston, Flathead Valley, Montana, USA</t>
  </si>
  <si>
    <t>Excess CO2/DIC attributed to external DIC inputs, i.e. groundwater/spring inputs high in CO2 and DIC ('Blaine Creek had much higher CO2 emissions than predicted based on its NEP, likely because of groundwater inputs that were high in CO2 and DIC'; stream was gaining within the study reach). Photomineralization judged negligible (&lt;1% of reach-scale vf).</t>
  </si>
  <si>
    <t>13C-DOC tracer pulse additions 8, 9 and 15 Aug 2019; metabolism (GPP/ER, K600) fit to 6 d of diel O2 data at downstream site, Aug 2019; CO2 flux from continuous pCO2 sensor over same Aug 2019 period</t>
  </si>
  <si>
    <t>measured total stream CO2 emission flux</t>
  </si>
  <si>
    <t>GPP: Results, 'DOC Removal as a Component of Stream Respiration', p.6 (SD 2.2); Table S1; ER: Results, p.6 (SD 1.8); Table S1; flux: Results, p.7; internal: Discussion, p.11 - hypothetical scenario: if labile DOM were half of total DOM (1.1 mg C L-1) and vf = 1.3 m d-1, respiration flux would be 1.4 g C m-2 d-1 ('about half of measured CO2 emissions'); not a direct measurement; pH: Methods, 'DOC Uptake and DIC Production', p.5 (pH = 8 stated for alkalinity/DIC calculation; mean alkalinity 5.3 meq L-1)</t>
  </si>
  <si>
    <t>NEP = -1 g O2 m-2 d-1 = 0.4 g C m-2 d-1 (authors' conversion, respiratory quotient = 1). Autotrophic respiration assumed 45% of GPP, giving heterotrophic respiration 7.0 g O2 m-2 d-1 = 2.8 g C m-2 d-1. Nighttime: respiration ~4.5 g C m-2 d-1 vs nighttime CO2 emission up to 5 g C m-2 d-1 (Fig. 4A). Observed O2:DIC slope 1.7 (ecosystem quotient), so C-based metabolism may be lower than O2-based. Fluxes are per stream surface area. [as printed: GPP=11 g O2 m-2 d-1; ER=12 g O2 m-2 d-1; flux=3.4 g C m-2 d-1 (per stream water surface area)]</t>
  </si>
  <si>
    <t>10.1016/j.jhydrol.2014.03.070</t>
  </si>
  <si>
    <t>Santa Fe River watershed (tributary of Suwannee River), north-central Florida, USA; mixed siliciclastic-confined upper catchment and unconfined carbonate karst (Floridan aquifer) lower catchment</t>
  </si>
  <si>
    <t>CO2 attributed to soil-respired CO2 and organic matter decomposition delivered by surface runoff/interflow and groundwater (dominant in the siliciclastic upper catchment), plus in-channel microbial organic matter degradation; in the lower carbonate catchment much of the soil-derived CO2 is consumed by carbonate mineral dissolution (buffering), and DIC there is roughly half from carbonate minerals; silicate weathering of Hawthorn Group also adds DIC in the upper basin</t>
  </si>
  <si>
    <t>All variables (water chemistry, pH, T, PCO2, d13C, DIC, DOC, gas transfer velocity): 14 sampling trips Jun 2010-Aug 2012, binned into low flow (Oct 2010, Dec 2010, May 2011, Oct 2011, Jun 2012), high flow (Jun 2010, Jul 2010, Sep 2010, Feb 2011, Mar 2011) and flood (weekly, Jul-Aug 2012 after Tropical Storm Debby); k600 measured by floating chamber during low and high flow only; annual degassing rates are day-weighted averages over the study period</t>
  </si>
  <si>
    <t>other</t>
  </si>
  <si>
    <t>flux: Table 2 and Abstract; day-weighted average; flow-specific means 373 ± 285 (low), 419 ± 288 (high), 732 ± 389 (flood) g C m-2 yr-1</t>
  </si>
  <si>
    <t>mean lower-basin PCO2 5190 latm; authors state CO2 degassing here is lower because soil-derived CO2 is consumed during carbonate dissolution; if the whole basin behaved like the upper (siliciclastic) basin, ~40% more CO2 would be released (Section 4.4) [as printed: GPP=NA ; ER=NA ; flux=402 g C m-2 yr-1 (per river water surface area)]  || 2026-09-08 ROUND2: pH back-filled from v2 (Lower_SFR 7.38, Upper_SFR 6.30); day-weighted annual basin values.  || 2026-09-08 ROUND3: Khadka reduced to the two basin rows per user instruction; the eight individual site rows were deleted for insufficient site-specific data. pH, temperature and discharge are SUB-BASIN network averages over the deleted site rows: Upper Santa Fe = mean of sites 700, 1000, 1500 and River Sink (pH 6.300, T 22.117 C, no discharge reported at any of the four); Lower Santa Fe = mean of River Rise, 2500, 2700 and 2800 (pH 7.383, T 23.842 C, Q 133.667 m3/s from site 2800 only). VALIDATION: the sub-basin pH means computed here (6.300 and 7.383) reproduce v2's independently recorded basin values (6.30 and 7.38) exactly, confirming that 'network average' in v2 also meant the sub-basin mean. Mean annual precipitation is a single catchment value (119.5 cm/yr) and needed no averaging.  || 2026-09-08 ROUND4: DISCHARGE CORRECTED from 133.667 to 50.5 m3/s. UNITS WERE NEVER WRONG - the paper reports m3/s and states that discharge at site 2800 rose 'from base flow values of around 30 m3/s to nearly 300 m3/s' during the July 2012 event, so the underlying numbers (low flow 32, high flow 69, flood 300) are correct as recorded. The problem was the average: 133.667 was the arithmetic mean of all three flow regimes, which a single once-in-a-decade flood inflates by about 2.6 times. The value is now the mean of the low-flow and high-flow regimes only (32 and 69), with the July 2012 flood excluded as a non-representative extreme. INDEPENDENT CORROBORATION: Kirk &amp; Cohen (2023) Table 1 report a median discharge of 50.9 +/- 16.1 m3/s at SF2800, the same USGS gauge (02322800), essentially identical to the 50.5 used here. IMPORTANT SCOPE NOTE: Khadka gauges only site 2800 (Fig. 2 is the record for USGS 02322800 alone); no discharge is reported for River Rise, 2500 or 2700, so this basin value rests on the outlet gauge alone. The Upper Santa Fe row (R112) carries a user-supplied discharge of 13.067 m3/s, which cannot have come from this paper for the same reason - its source should be recorded here.  || 2026-09-08 ROUND5: DISCHARGE REVISED 50.5 -&gt; 32.933 m3/s, superseding the earlier flood-excluded gauge-2800 value, so that both Khadka basin rows now come from one consistent source. Taken from Kirk &amp; Cohen (2023) Table 1 median discharges, site-matched: the Lower Santa Fe row covers Khadka sites River Rise, 2500, 2700 and 2800, of which Kirk gauges three - ICHE 9.6 (Khadka site 2700 IS the Ichetucknee River tributary), SF2500 38.3 and SF2800 50.9 - giving a mean of 32.933 m3/s. Kirk has no River Rise gauge. This is a 3-site basin mean rather than the outlet gauge alone (50.9 median at SF2800), and is the more faithful representation of a row that averages four sites. Khadka itself reports no better average: its only discharge record is gauge 02322800 (base flow ~30 m3/s, July 2012 flood ~300 m3/s).</t>
  </si>
  <si>
    <t>flux: Table 2 and Abstract; day-weighted average; flow-specific means 963 ± 116 (low), 1348 ± 791 (high), 2942 ± 1610 (flood) g C m-2 yr-1</t>
  </si>
  <si>
    <t>day-weighted average = flux rate normalized by number of days each flow stage existed; mean upper-basin PCO2 16,190 latm; k600 measured by floating chamber 0.6-5.6 cm/h (1.9 ± 1.4 low flow, 3.2 ± 1.5 high flow); whole-river CO2 evasion 2.8 x 10^9 g C/yr (corrigendum) over 3.9 km2 river surface [as printed: GPP=NA ; ER=NA ; flux=1156 g C m-2 yr-1 (per river water surface area)]  || 2026-09-08 ROUND2: pH back-filled from v2 (Lower_SFR 7.38, Upper_SFR 6.30); day-weighted annual basin values.  || 2026-09-08 ROUND3: Khadka reduced to the two basin rows per user instruction; the eight individual site rows were deleted for insufficient site-specific data. pH, temperature and discharge are SUB-BASIN network averages over the deleted site rows: Upper Santa Fe = mean of sites 700, 1000, 1500 and River Sink (pH 6.300, T 22.117 C, no discharge reported at any of the four); Lower Santa Fe = mean of River Rise, 2500, 2700 and 2800 (pH 7.383, T 23.842 C, Q 133.667 m3/s from site 2800 only). VALIDATION: the sub-basin pH means computed here (6.300 and 7.383) reproduce v2's independently recorded basin values (6.30 and 7.38) exactly, confirming that 'network average' in v2 also meant the sub-basin mean. Mean annual precipitation is a single catchment value (119.5 cm/yr) and needed no averaging.  || 2026-09-08 ROUND5: DISCHARGE CORRECTED 13.067 -&gt; 0.900 m3/s. Khadka reports no per-site discharge (Fig. 2 is the record for USGS gauge 02322800 alone), so discharge for both basin rows is taken from Kirk &amp; Cohen (2023) Table 1 median discharges for the same river network, site-matched to Khadka nomenclature. The previous value of 13.0667 is exactly mean(SF700 0.5, SF1000 0.4, SF2500 38.3); SF2500 is a LOWER-basin site and contributes 98% of that average, so it appears to have been included by mistake. The Upper Santa Fe row covers Khadka sites 700, 1000, 1500 and the River Sink; Kirk covers three of these (SF700 0.5, SF1000 0.4, SF1500 1.8), giving a mean of 0.900 m3/s. Kirk has no River Sink gauge. Including Kirk DRAIN (0.02) as well would give 0.68 m3/s; DRAIN is excluded here because Khadka does not list it as an Upper Santa Fe site.</t>
  </si>
  <si>
    <t>10.1029/2022jg006954</t>
  </si>
  <si>
    <t>Santa Fe River network (tributary of the Suwannee River), north-central Florida, USA; lowland southeastern coastal plain</t>
  </si>
  <si>
    <t>CO2 emitted is partitioned into in-stream metabolic production (NEP, 'reactor' pathway) and lateral inputs ('chimney'): riparian-wetland-derived groundwater CO2 (RIP) and terrestrial upland/deep-aquifer (karst spring) CO2 (TER). In the confined upper basin shallow groundwater flows through riparian wetlands entraining CO2 (RIP dominant); in the unconfined karst lower basin recharge bypasses riparian zones and enters via artesian spring vents (TER dominant). Riparian groundwater pCO2 (mean 56,900 ppm upper, 18,500 ppm lower) far exceeds upland groundwater pCO2 (~10,600/9,200 ppm) and spring-vent (aquifer) pCO2 (7,115 ppm). River corridor (NEP+RIP) sources 87% of fCO2. 'Other' (unbalanced) flux attributed to carbonate buffering/dissolution, anaerobic respiration, methane oxidation.</t>
  </si>
  <si>
    <t>All fluxes (fCO2, metabolism, lateral CO2) measured for 3–7 months in 2019; SF700 limited to Jan–Feb 2019 and SF2800 to Sep 2019 (sensor failure). Days with full CO2 mass balance in 2019: DRAIN 146, SF700 52, SF1000 96, SF1500 205, ICHE 85, SF2500 108, SF2800 3 (Table 1). Groundwater pCO2 monthly at DRAIN and ICHE, synoptic (single) measurements at other sites; alkalinity from Khadka et al. (2014).</t>
  </si>
  <si>
    <t>GPP: Table 1 ('Positive GPP'); ER: Table 1 ('Positive ER'); pH: Table 1</t>
  </si>
  <si>
    <t>Metabolism reported in g-O2 m-2 d-1 as means of daily values ±1 SD; authors convert with 12 g C / 32 g O2 and assume photosynthetic and respiratory quotients of 1.0. Stream pCO2 mean 7,500±2,100 ppm; riparian groundwater pCO2 50,100±17,000 ppm; upland groundwater pCO2 not measured; k600 6.4±2.7 d-1. Fluxes on stream benthic (water-surface) area basis. Highest RIP:TER yield ratio of network (an order of magnitude above the rest, Fig. 4). [as printed: GPP=0 g-O2 m-2 d-1; ER=6.6 g-O2 m-2 d-1; flux=NA ]  || 2026-09-07 RERUN: CO2_flux filled as site median of |fCO2| from 2022jg006954-supplement1.csv (daily CO2 mass balance; fCO2 negative = emission in that file's sign convention), in gC/m2/d. Days with fCO2: DRAIN 146, SF700 52, SF1000 108, SF1500 219, ICHE 180, SF2500 122, SF2800 3 (SF2800 VERY WEAK - only 3 days). Validation: mean of the 7 site medians = 5.65 gC/m2/d vs 5.7 reported in text (Figure 3b). Basin rows use mean of member-site medians: Upper SF (DRAIN,SF700,SF1000,SF1500) 5.37; Lower SF (ICHE,SF2500,SF2800) 6.03. Basin Internal = mean of member |ER|-GPP from Table 1. Whole-network GPP 0.858 gC = mean of the 7 Table 1 Positive GPP values (g-O2 x0.375445); note the network Internal (2.3) and ER (3.0) already in the row imply GPP about 0.7, the difference being site weighting. Existing Table-1-derived GPP/ER/Internal reproduced exactly from the paper, confirming the conversions.</t>
  </si>
  <si>
    <t>total CO2 emission (fCO2)</t>
  </si>
  <si>
    <t>GPP: Table 1 ('Positive GPP'); Results give GPP = 3.6 g-C m-2 d-1; ER: Table 1 ('Positive ER'); flux: Results, p.9 (mean CO2 emission at ICHE); pH: Table 1</t>
  </si>
  <si>
    <t>Metabolism by two-station method. GPP given in carbon as 3.6 g-C m-2 d-1 in Results; Table 1 value is 7.8 g-O2 m-2 d-1 (12/32 conversion, PQ=RQ=1.0). Stream pCO2 2,500±400 ppm; upland groundwater pCO2 7,100±500 ppm; riparian groundwater pCO2 21,600±9,000 ppm; alkalinity 2.9 meq L-1; k600 2.6 d-1. Fluxes per stream benthic area. [as printed: GPP=7.8 g-O2 m-2 d-1; ER=7 g-O2 m-2 d-1; flux=4.7 g-C m-2 d-1]  || 2026-09-07 RERUN: CO2_flux filled as site median of |fCO2| from 2022jg006954-supplement1.csv (daily CO2 mass balance; fCO2 negative = emission in that file's sign convention), in gC/m2/d. Days with fCO2: DRAIN 146, SF700 52, SF1000 108, SF1500 219, ICHE 180, SF2500 122, SF2800 3 (SF2800 VERY WEAK - only 3 days). Validation: mean of the 7 site medians = 5.65 gC/m2/d vs 5.7 reported in text (Figure 3b). Basin rows use mean of member-site medians: Upper SF (DRAIN,SF700,SF1000,SF1500) 5.37; Lower SF (ICHE,SF2500,SF2800) 6.03. Basin Internal = mean of member |ER|-GPP from Table 1. Whole-network GPP 0.858 gC = mean of the 7 Table 1 Positive GPP values (g-O2 x0.375445); note the network Internal (2.3) and ER (3.0) already in the row imply GPP about 0.7, the difference being site weighting. Existing Table-1-derived GPP/ER/Internal reproduced exactly from the paper, confirming the conversions.</t>
  </si>
  <si>
    <t>Stream pCO2 2,900±1,100 ppm; riparian groundwater pCO2 73,500 ppm; k600 2.8±0.8 d-1. Discussion notes excess CO2 at SF1000 was 'anomalously low' and this site was excluded from the network TER share of excess CO2 (49%). [as printed: GPP=-0.2 g-O2 m-2 d-1; ER=10.2 g-O2 m-2 d-1; flux=NA ]  || 2026-09-07 RERUN: CO2_flux filled as site median of |fCO2| from 2022jg006954-supplement1.csv (daily CO2 mass balance; fCO2 negative = emission in that file's sign convention), in gC/m2/d. Days with fCO2: DRAIN 146, SF700 52, SF1000 108, SF1500 219, ICHE 180, SF2500 122, SF2800 3 (SF2800 VERY WEAK - only 3 days). Validation: mean of the 7 site medians = 5.65 gC/m2/d vs 5.7 reported in text (Figure 3b). Basin rows use mean of member-site medians: Upper SF (DRAIN,SF700,SF1000,SF1500) 5.37; Lower SF (ICHE,SF2500,SF2800) 6.03. Basin Internal = mean of member |ER|-GPP from Table 1. Whole-network GPP 0.858 gC = mean of the 7 Table 1 Positive GPP values (g-O2 x0.375445); note the network Internal (2.3) and ER (3.0) already in the row imply GPP about 0.7, the difference being site weighting. Existing Table-1-derived GPP/ER/Internal reproduced exactly from the paper, confirming the conversions.</t>
  </si>
  <si>
    <t>Stream pCO2 4,300±1,200 ppm; upland groundwater pCO2 10,900 ppm; riparian groundwater pCO2 61,400 ppm; k600 2.3±0.6 d-1. Positive 'other' flux at this site attributed to carbonate re-equilibration. [as printed: GPP=0.5 g-O2 m-2 d-1; ER=11.2 g-O2 m-2 d-1; flux=NA ]  || 2026-09-07 RERUN: CO2_flux filled as site median of |fCO2| from 2022jg006954-supplement1.csv (daily CO2 mass balance; fCO2 negative = emission in that file's sign convention), in gC/m2/d. Days with fCO2: DRAIN 146, SF700 52, SF1000 108, SF1500 219, ICHE 180, SF2500 122, SF2800 3 (SF2800 VERY WEAK - only 3 days). Validation: mean of the 7 site medians = 5.65 gC/m2/d vs 5.7 reported in text (Figure 3b). Basin rows use mean of member-site medians: Upper SF (DRAIN,SF700,SF1000,SF1500) 5.37; Lower SF (ICHE,SF2500,SF2800) 6.03. Basin Internal = mean of member |ER|-GPP from Table 1. Whole-network GPP 0.858 gC = mean of the 7 Table 1 Positive GPP values (g-O2 x0.375445); note the network Internal (2.3) and ER (3.0) already in the row imply GPP about 0.7, the difference being site weighting. Existing Table-1-derived GPP/ER/Internal reproduced exactly from the paper, confirming the conversions.</t>
  </si>
  <si>
    <t>Groundwater DO correction applied to metabolism (Hall &amp; Tank 2005). Aquifer lateral inflow qL,aquifer = 0.0019 m3 s-1 m-1. Stream pCO2 6,000±700 ppm; upland groundwater pCO2 8,600 ppm; riparian groundwater pCO2 12,700 ppm; alkalinity 2.9 meq L-1; k600 1.5±0.4 d-1. Carbonate dissolution inferred here (negative/positive 'other' flux). [as printed: GPP=6.5 g-O2 m-2 d-1; ER=6 g-O2 m-2 d-1; flux=NA ]  || 2026-09-07 RERUN: CO2_flux filled as site median of |fCO2| from 2022jg006954-supplement1.csv (daily CO2 mass balance; fCO2 negative = emission in that file's sign convention), in gC/m2/d. Days with fCO2: DRAIN 146, SF700 52, SF1000 108, SF1500 219, ICHE 180, SF2500 122, SF2800 3 (SF2800 VERY WEAK - only 3 days). Validation: mean of the 7 site medians = 5.65 gC/m2/d vs 5.7 reported in text (Figure 3b). Basin rows use mean of member-site medians: Upper SF (DRAIN,SF700,SF1000,SF1500) 5.37; Lower SF (ICHE,SF2500,SF2800) 6.03. Basin Internal = mean of member |ER|-GPP from Table 1. Whole-network GPP 0.858 gC = mean of the 7 Table 1 Positive GPP values (g-O2 x0.375445); note the network Internal (2.3) and ER (3.0) already in the row imply GPP about 0.7, the difference being site weighting. Existing Table-1-derived GPP/ER/Internal reproduced exactly from the paper, confirming the conversions.</t>
  </si>
  <si>
    <t>external_co2 = TER (terrestrial upland + deep aquifer subsumed), stream benthic area basis; qL likely overestimated (Eq. 7 used). Stream pCO2 5,000±800 ppm; upland groundwater pCO2 13,000 ppm; riparian groundwater pCO2 21,300 ppm; alkalinity 2.8 meq L-1; k600 0.7 d-1. Only 3 days of full mass balance (Sep 2019). Daily CO2 ionization to bicarbonate can reach 5.7 g-C m-2 d-1 here. [as printed: GPP=1.4 g-O2 m-2 d-1; ER=9 g-O2 m-2 d-1; flux=NA ]  || 2026-09-07 RERUN: CO2_flux filled as site median of |fCO2| from 2022jg006954-supplement1.csv (daily CO2 mass balance; fCO2 negative = emission in that file's sign convention), in gC/m2/d. Days with fCO2: DRAIN 146, SF700 52, SF1000 108, SF1500 219, ICHE 180, SF2500 122, SF2800 3 (SF2800 VERY WEAK - only 3 days). Validation: mean of the 7 site medians = 5.65 gC/m2/d vs 5.7 reported in text (Figure 3b). Basin rows use mean of member-site medians: Upper SF (DRAIN,SF700,SF1000,SF1500) 5.37; Lower SF (ICHE,SF2500,SF2800) 6.03. Basin Internal = mean of member |ER|-GPP from Table 1. Whole-network GPP 0.858 gC = mean of the 7 Table 1 Positive GPP values (g-O2 x0.375445); note the network Internal (2.3) and ER (3.0) already in the row imply GPP about 0.7, the difference being site weighting. Existing Table-1-derived GPP/ER/Internal reproduced exactly from the paper, confirming the conversions.</t>
  </si>
  <si>
    <t>Stream pCO2 3,400±800 ppm; upland groundwater pCO2 10,300 ppm (single synoptic); riparian groundwater pCO2 42,300 ppm; k600 4.1±1.6 d-1. Metabolism g-O2 m-2 d-1; C conversion 12/32, PQ=RQ=1.0. Record limited to Jan–Feb 2019 (52 days of full mass balance). [as printed: GPP=0 g-O2 m-2 d-1; ER=4.2 g-O2 m-2 d-1; flux=NA ]  || 2026-09-07 RERUN: CO2_flux filled as site median of |fCO2| from 2022jg006954-supplement1.csv (daily CO2 mass balance; fCO2 negative = emission in that file's sign convention), in gC/m2/d. Days with fCO2: DRAIN 146, SF700 52, SF1000 108, SF1500 219, ICHE 180, SF2500 122, SF2800 3 (SF2800 VERY WEAK - only 3 days). Validation: mean of the 7 site medians = 5.65 gC/m2/d vs 5.7 reported in text (Figure 3b). Basin rows use mean of member-site medians: Upper SF (DRAIN,SF700,SF1000,SF1500) 5.37; Lower SF (ICHE,SF2500,SF2800) 6.03. Basin Internal = mean of member |ER|-GPP from Table 1. Whole-network GPP 0.858 gC = mean of the 7 Table 1 Positive GPP values (g-O2 x0.375445); note the network Internal (2.3) and ER (3.0) already in the row imply GPP about 0.7, the difference being site weighting. Existing Table-1-derived GPP/ER/Internal reproduced exactly from the paper, confirming the conversions.</t>
  </si>
  <si>
    <t>10.1016/j.watres.2024.122870</t>
  </si>
  <si>
    <t>Bode River at Gross Germersleben ("stream") and Elbe River at Magdeburg ("river"), Elbe Catchment, Central Germany</t>
  </si>
  <si>
    <t>Authors state river-groundwater interaction is limited at both sites due to very low groundwater recharge, and that diurnal groundwater input change was negligible, so any change in the river inorganic carbon pool was assumed to be caused by in-river carbon processes; they note streams typically receive a higher percentage of terrestrially derived (external) DIC than larger rivers, and that low alkalinity implies limited external input and tight coupling of CO2 with productivity. No quantitative internal/external partition of CO2 evasion is given.</t>
  </si>
  <si>
    <t>High-frequency sensor CO2, O2, pH, temperature 15-min intervals June-September 2021 (non-drought summer) and June-September 2022 (drought summer); floating-chamber k600 campaigns April 2022 (spring high flow) and July 2022 (summer baseflow); metabolism (GPP/ER) modelled with streamMetabolizer over the same two summers; model scenario/sensitivity analysis uses summer mean hourly inputs</t>
  </si>
  <si>
    <t>GPP: Table 1; Results 3.2; ER: Table 1; Results 3.2; pH: Table 1 (starting pH; SD 0.4)</t>
  </si>
  <si>
    <t>O2-based metabolism converted to C at 1:1 mol O2:DIC (sensitivity: CO2:O2 of 1.2 increases modelled diel amplitude 21-40% in the river); ER printed negative. Mean water depth 0.9 m; k600 = 2.2 m d-1; daily PAR 91 mol m-2 d-1; starting CO2 27 umol L-1 (Table 1). Modelled diel CO2 amplitude 17.6 umol L-1 (53% higher); observed amplitude 24% larger than non-drought. [as printed: GPP=86 mmol O2 m-2 d-1; ER=-42 mmol O2 m-2 d-1; flux=NA ]  || 2026-09-07 RERUN: ROWS COLLAPSED (workbook-wide policy, 2026-09-07): repeat sampling events at the same site were averaged into a single site row (arithmetic mean of each numeric column over the events, skipping NA). N_rows_collapsed gives the number of source rows. Study-level aggregate/pooled rows are retained separately.  || 2026-09-08 ROUND3: CO2 flux ADDED (previously blank). The paper defines FCO2 = kCO2*([CO2,water] - [CO2,air]) (Eq. 2) but never prints a mean areal flux - its results concern the diel AMPLITUDE of CO2 concentration under drought - which is why this field was empty even though CO2_Flux_Method is populated. Computed here from Table 1: mean starting CO2 concentration (Elbe 28 and 27 umol/L in 2021 and 2022; Bode 55 and 52) and k600 (Elbe 2.9 and 2.2 m/d; Bode 2.5 and 2.3), each averaged over the two summers to match this row, which is itself the collapsed drought plus non-drought mean. kCO2 = k600*(ScCO2/600)^-0.5 at the row's own water temperature; CO2,air from KH(T)*400 uatm. Elbe 0.392, Bode 1.021 gC/m2/d. CAVEAT: Table 1's 'starting CO2' is the mean first-hour-of-day measured concentration, i.e. near the nocturnal maximum, so these fluxes are more likely over- than under-estimates; Figure 2e,f shows the full hourly series, whose visual centre is close to these values for both rivers. External = flux - Internal.</t>
  </si>
  <si>
    <t>GPP: Table 1; Results 3.2; ER: Table 1; Results 3.2; pH: Table 1 (starting pH; SD 0.13)</t>
  </si>
  <si>
    <t>O2-based metabolism, converted to C at 1:1 mol O2:DIC; ER printed negative. Mean water depth 0.30 m; k600 = 2.3 m d-1; daily PAR 93 mol m-2 d-1; starting CO2 52 umol L-1 (Table 1). Modelled diel CO2 amplitude 45.3 umol L-1 (91% higher than non-drought); observed diel amplitude 62% larger than non-drought. [as printed: GPP=145 mmol O2 m-2 d-1; ER=-128 mmol O2 m-2 d-1; flux=NA ]  || 2026-09-07 RERUN: ROWS COLLAPSED (workbook-wide policy, 2026-09-07): repeat sampling events at the same site were averaged into a single site row (arithmetic mean of each numeric column over the events, skipping NA). N_rows_collapsed gives the number of source rows. Study-level aggregate/pooled rows are retained separately.  || 2026-09-08 ROUND3: CO2 flux ADDED (previously blank). The paper defines FCO2 = kCO2*([CO2,water] - [CO2,air]) (Eq. 2) but never prints a mean areal flux - its results concern the diel AMPLITUDE of CO2 concentration under drought - which is why this field was empty even though CO2_Flux_Method is populated. Computed here from Table 1: mean starting CO2 concentration (Elbe 28 and 27 umol/L in 2021 and 2022; Bode 55 and 52) and k600 (Elbe 2.9 and 2.2 m/d; Bode 2.5 and 2.3), each averaged over the two summers to match this row, which is itself the collapsed drought plus non-drought mean. kCO2 = k600*(ScCO2/600)^-0.5 at the row's own water temperature; CO2,air from KH(T)*400 uatm. Elbe 0.392, Bode 1.021 gC/m2/d. CAVEAT: Table 1's 'starting CO2' is the mean first-hour-of-day measured concentration, i.e. near the nocturnal maximum, so these fluxes are more likely over- than under-estimates; Figure 2e,f shows the full hourly series, whose visual centre is close to these values for both rivers. External = flux - Internal.</t>
  </si>
  <si>
    <t>10.1016/j.watres.2026.126181</t>
  </si>
  <si>
    <t>South-to-North Water Diversion Middle Route Project (SNWD-MRP) main canal, ~1432 km from Danjiangkou Reservoir to Beijing, crossing Yangtze, Huaihe, Yellow and Haihe River basins, China</t>
  </si>
  <si>
    <t>Carbon dynamics within the canal are dominated by autochthonous processes (algal photosynthesis and microbial metabolism); terrestrial/allochthonous carbon inputs are substantially reduced by anthropogenic interventions and the canal's partial enclosure; DIC assimilated by phototrophs is converted into autochthonous DOC; summer pCO2 driven mainly by internal biotic (algal respiration/microbial degradation) processes, winter pCO2 mainly by carbonate equilibrium chemistry</t>
  </si>
  <si>
    <t>Main carbon/DOM survey: July (summer) and December (winter) 2024; additional three campaigns Apr 2023-Dec 2024 for the machine-learning training set (n=258); official monitoring sections Jan 2015-Dec 2023 used for DOC reconstruction; hydrological data 2015-2024</t>
  </si>
  <si>
    <t>pH: Results 3.1, p.5</t>
  </si>
  <si>
    <t>Summer pCO2 range 1473.91-2140.01 µatm and dCH4 12.75-44.39 nmol L-1 (Results 3.2) - concentrations, not fluxes; summer values 96.81% and 72.59% higher than winter. DOC 2.28 ± 0.14 mg L-1; DIC 21.51 ± 1.00 mg L-1; DO 7.68 mg L-1; TA 1298.26 µM; Chla 2.59 µg L-1 (winter value). [as printed: GPP=NA ; ER=NA ; flux=NA ]  || 2026-09-07 RERUN: ROWS COLLAPSED (workbook-wide policy, 2026-09-07): repeat sampling events at the same site were averaged into a single site row (arithmetic mean of each numeric column over the events, skipping NA). N_rows_collapsed gives the number of source rows. Study-level aggregate/pooled rows are retained separately.</t>
  </si>
  <si>
    <t>NO</t>
  </si>
  <si>
    <t>10.1002/lno.11134</t>
  </si>
  <si>
    <t>1.4 km lake-outlet stream reach (stations C5–C6), Krycklan catchment, northern Sweden (boreal)</t>
  </si>
  <si>
    <t>Lateral C gas inputs from riparian soils (groundwater) were the major source of CO2 and CH4; groundwater inputs (FGW) were the dominant CO2 input (34–66%) and &gt;93% of CH4 input; the upstream lake contributed minimally (&lt;20%) and only within &lt;300 m of the outlet; in-stream mineralization of soil-derived DOC and CH4 oxidation (internal production) accounted for 17–51% of stream CO2 emissions, greatest at higher flows</t>
  </si>
  <si>
    <t>stream/groundwater chemistry and evasion: biweekly, 12 dates, Jun–Nov 2016 (ice-free period); stream metabolism (O2 single-station, 3 locations): 10 of the 12 dates; mass balance: 11 dates for CO2/CH4</t>
  </si>
  <si>
    <t>total CO2 inputs to the reach (Fig. 4f); Abstract frames FS as % of stream CO2 emissions</t>
  </si>
  <si>
    <t>flux: Discussion 'Scaling up stream C emissions', p.1554–1555 (overall average across sampling stations); site range 0.39–13.97 g C m-2 d-1 (Results); internal 34%: Abstract and Results 'Contribution of each source' (Fig. 4f): FS = 17–51%; midpoint of range given here; external 50%: Results, Fig. 4f: groundwater (FGW) dominant CO2 input 34–66%; midpoint of range given here (lake inputs &lt;20%); pH: Study site, p.1547 (mean; range 4.8–6.1)</t>
  </si>
  <si>
    <t>Fluxes are per unit stream surface area; FS divided by stream surface area (m2) for comparison with metabolism. NEP converted to C using molar CO2:O2 ratio of 106:138 (Torgersen and Branco 2008), so metabolism values are already in carbon units. Whole-reach CH4 evasion 8–47 g C d-1; whole-reach CO2 evasion 985–6220 g C d-1. CH4 areal evasion 0.003–0.104 g C m-2 d-1. k600 range 0.7–29 m d-1. [authors already carbon-referenced GPP/ER; no O2-&gt;C applied] [as printed: GPP=NA ; ER=NA ; flux=4.2 g C m-2 d-1]</t>
  </si>
  <si>
    <t>10.1007/s10533-022-00954-4</t>
  </si>
  <si>
    <t>Taconazo stream, La Selva Biological Station, Caribbean lowlands, Costa Rica</t>
  </si>
  <si>
    <t>CO2 supersaturation attributed to both groundwater CO2 inputs (riparian well pCO2 median 46,924 ppmv, similar to deep soil CO2) and large in-stream production of CO2 (NEP, likely including anaerobic respiration in riparian soils/in-stream sediments); C cycling driven by allochthonous organic matter because GPP is light-limited under closed canopy</t>
  </si>
  <si>
    <t>Continuous hourly stream + riparian well sensor data (O2, pH, T, pCO2, Q) 1 Apr–30 Sep 2013; reach width/velocity/travel time measured Mar 2013; gas exchange (K) from propane injections reported in Oviedo-Vargas et al. (2015) (dry and wet season values); groundwater fraction fGW from earlier tracer injections (Ardón et al. 2013; Oviedo-Vargas et al. 2015)</t>
  </si>
  <si>
    <t>flux: Results p.266 and Discussion p.269 (median FCO2 0.18 ± 0.14); internal: Results, Reach-scale CO2 fluxes, p.266 (median NEP 2.8 x 10-2 ± 0.16 mol CO2 m-2 d-1); pH: Table 1 (median; range 4.02–6.91)</t>
  </si>
  <si>
    <t>Fluxes are areal per stream bed area of the 75 m reach (L=75 m, w=1.5 m dry season, 2.8 m wet season; mean reach width 1.3 m in Table 1). NEP converted from mol O2 to mol C assuming 1:1 respiratory quotient (RQ=1), so internal_co2 is already in carbon units. Watershed area 0.270 km2; total stream bed area 3008 m2 (dry) and 5022 m2 (wet) used to upscale whole-stream FCO2 = 1499 ± 1038 mol CO2 d-1, vs downstream DIC/CO2 export 8.2 ± 10.0 mol CO2 d-1 (FCO2 = 182x export). K from propane injections: KO2 19.5 d-1 (dry), 7.3 d-1 (wet); KCO2 20.3 d-1 (dry), 7.6 d-1 (wet), Schmidt-scaled. [authors already carbon-referenced GPP/ER; no O2-&gt;C applied] [as printed: GPP=NA ; ER=NA ; flux=0.18 mol CO2 m-2 d-1 (stream surface/bed area; also written mol C m-2 d-1)]</t>
  </si>
  <si>
    <t>10.5194/bg-19-137-2022</t>
  </si>
  <si>
    <t>Mengong first-order catchment and Nyong River watershed (Awout, So'o, Nyong at Mbalmayo and Olama), southern Cameroon, tropical Africa</t>
  </si>
  <si>
    <t>CO2 in non-flooded forest groundwater originates from soil (root and microbial) respiration in the overlying unsaturated lateritic soil, transported downward by diffusion rather than percolation; wetland CO2 comes from root and microbial respiration under flooded conditions plus in situ degradation of litter-fall; in the first-order catchment 83 % and 17 % of stream CO2 degassing is sustained by DIC inputs from non-flooded forest groundwater and wetland respectively (58 % and 42 % when weighed by surface area); at the watershed scale only ~10 % of CO2 degassing is supported by heterotrophic respiration in the river, the rest by direct land and wetland CO2 inputs</t>
  </si>
  <si>
    <t>C and ancillary parameters: fortnightly Jan-Dec 2016 (22 campaigns); heterotrophic respiration: 14 dark 24 h incubations in stream orders 1 and 5 during 2016; discharge/rainfall context 1998-2020 (M-TROPICS)</t>
  </si>
  <si>
    <t>total CO2 degassing at the water-air interface of the entire river network</t>
  </si>
  <si>
    <t>ER: Abstract; Sect. 4.3 (521 +/- 403, pelagic plus benthic, average of orders 1 and 5); flux: Abstract; Sect. 4.3 (5085 +/- 2544); internal 10%: Abstract and Sect. 4.3: 'only ~10 % of the CO2 degassing at the water-air interface was supported by heterotrophic respiration in the river'</t>
  </si>
  <si>
    <t>Integrated degassing 651.9 +/- 160.6 GgC-CO2 yr-1 = 23.4 +/- 5.8 MgC-CO2 km-2 yr-1 when weighed by the Nyong watershed area (27 800 km2 stated; 18 510 km2 at Olama); watershed net terrestrial C sink 300 MgC km-2 yr-1 (Table 7, from Brunet et al., 2009); degassing + ocean export ~11 % of net C sink [authors already carbon-referenced GPP/ER; no O2-&gt;C applied] [as printed: GPP=NA ; ER=521 gC-CO2 m-2 yr-1; flux=5085 gC-CO2 m-2 yr-1]  || 2026-09-08 ROUND2: pH 5.785 = arithmetic mean of the six measured network sites in v2 (Awout 5.629, Nyong at Mbalmayo 6.204, Nyong at Olama 6.152, Mengong outlet 5.635, So'o 6.054, Mengong source 5.036). The paper reports no single watershed-scale pH.</t>
  </si>
  <si>
    <t>10.5194/bg-22-4923-2025</t>
  </si>
  <si>
    <t>Middle Loire River at Dampierre (47.6° N, 2.6° E), 564 km from source, 36 000 km2 catchment, France (temperate)</t>
  </si>
  <si>
    <t>External CO2 attributed mainly to groundwater inputs (carbonate-rich catchment, dissolution of carbonate minerals delivering alkalinity/DIC), soils, wetlands and riparian/secondary-channel organic matter remobilised by first autumn floods; the multidecadal decline in external CO2 is attributed to reduced groundwater discharge (falling water table) and lower groundwater pCO2 (rising groundwater pH at stable alkalinity). Internal CO2 from net ecosystem respiration of organic matter in-stream.</t>
  </si>
  <si>
    <t>Hourly pH, water temperature, EC, DO 1990-2021 (32 years); daily FCO2 and NEP/GPP/ER over the same 1990-2021 window; total alkalinity grab samples daily-to-monthly reconstructed to daily from EC; results grouped into decades 1990-2000, 2001-2010, 2011-2021</t>
  </si>
  <si>
    <t>total annual FCO2</t>
  </si>
  <si>
    <t>GPP: Results 3.1, p.4928 (cumulative annual GPP = 1113 ± 225); ER: Results 3.1, p.4928 (ER = 1136 ± 241); flux: Table 1, p.4930 (FCO2, All states = 1031 ± 531); internal: Table 1, p.4930 (-NEP, All states)</t>
  </si>
  <si>
    <t>O2:C = 1:1 conversion used. Heterotrophic-source state alone: FCO2 954 ± 514, -NEP 277 ± 158, external CO2 677 ± 477 g C m-2 yr-1, 94.6 % of annual FCO2, occurring 47.3 ± 9.4 % of days (Table 1). [authors already carbon-referenced GPP/ER; no O2-&gt;C applied] [as printed: GPP=1113 g C m-2 yr-1; ER=1136 g C m-2 yr-1; flux=1031 g C m-2 yr-1 (water surface area)]  || 2026-09-07 RERUN: ROWS COLLAPSED (workbook-wide policy, 2026-09-07): repeat sampling events at the same site were averaged into a single site row (arithmetic mean of each numeric column over the events, skipping NA). N_rows_collapsed gives the number of source rows. Study-level aggregate/pooled rows are retained separately.</t>
  </si>
  <si>
    <t>10.1002/2015JG003009</t>
  </si>
  <si>
    <t>Taconazo and Arboleda streams, La Selva Biological Station, Caribbean lowlands, Costa Rica</t>
  </si>
  <si>
    <t>CO2 in the lower Arboleda derives from old (~2400-4000 yr) regional bedrock groundwater recharged outside the watershed in the Cordillera Central; isotopic characterization (DIC, He, Cl) indicates the high dissolved C originates from mantle outgassing and/or weathering of volcanic rock, i.e. nonbiogenic external CO2. Reaches without regional groundwater (Taconazo, upper Arboleda) receive only young local groundwater whose CO2 reflects soil/root respiration within the catchment</t>
  </si>
  <si>
    <t>Gas exchange (propane+NaCl) and dissolved gas/flux measurements: dry season 20 Feb-4 Mar 2014, wet season 4-14 Aug 2014 (lower Arboleda done twice per season); annual watershed-normalized fluxes scaled from these two campaigns (dry = 120 d, 1 Jan-30 Apr; wet = 245 d, 1 May-31 Dec). Long-term rainfall/air T 1963-2013 and 1982-2013; NEE comparison from 1998-2000</t>
  </si>
  <si>
    <t>flux: Table 2 (Lower Arboleda average, dry)</t>
  </si>
  <si>
    <t>Individual experiments: Lower Arboleda 1 = 8.8 ± 7.0, Lower Arboleda 2 = 3.6 ± 5.7 mol C m-2 d-1 (Table 2); ±0.9 on average is 1 SD; fCH4 = 4 ± 1 mmol C m-2 d-1 (0.06% of total C flux); [CO2]aq 1078-1120 µM (~34,550-35,426 µatm); only reach receiving regional groundwater [as printed: GPP=NA ; ER=NA ; flux=6.2 mol C m-2 (stream surface) d-1]  || 2026-09-07 RERUN: ROWS COLLAPSED (workbook-wide policy, 2026-09-07): repeat sampling events at the same site were averaged into a single site row (arithmetic mean of each numeric column over the events, skipping NA). N_rows_collapsed gives the number of source rows. Study-level aggregate/pooled rows are retained separately.  || 2026-09-08 ROUND3: Internal and External calculated per user instruction as Internal = CO2_flux * Internal_Pct_of_Flux and External = CO2_flux * (1 - Internal_Pct_of_Flux), using 65.9%. (The instruction as written, External = CO2_flux - (1 - Internal_Pct), is dimensionally inconsistent - it subtracts a fraction from a flux - so the equivalent complement form was used, giving Internal + External = CO2_flux exactly.) IMPORTANT CAVEAT ON THE 65.9%: Oviedo-Vargas et al. (2015) measure NO metabolism at all - the words internal, metabolism, NEP and in-stream do not appear in the paper - so there is no measured in-stream CO2 pathway. The 34% / 66% split originates from the Study Site section, where 'about 34% of the streamflow comes from regional bedrock groundwater' in the Arboleda. That is a share of STREAMFLOW, not of CO2 emission, and treating the complement as an internal metabolic pathway is an assumption not supported by the paper. It has been applied ONLY to the Lower Arboleda, the single reach the paper describes as receiving both local and regional groundwater. It was NOT applied to the Taconazo reaches (fed only by local young groundwater recharged within the catchment, i.e. no regional component) nor to the Upper Arboleda, which the paper's own 'reaches with no regional groundwater inflow' grouping places with the Taconazo. Also note that even under this assumption both local and regional groundwater are EXTERNAL to the stream channel, so the 65.9% is not an internal-metabolism fraction in the sense used elsewhere in this workbook.</t>
  </si>
  <si>
    <t>10.3389/frwa.2023.1321137</t>
  </si>
  <si>
    <t>Haselbach (HAS) headwater stream, peatland-dominated catchment (7.84 km2), pre-alpine Bavaria, ~50 km south of Munich, Germany</t>
  </si>
  <si>
    <t>Authors attribute the persistently high CO2 (and CH4, N2O) mainly to allochthonous/ex-situ sources: peatland pore water and surface run-off/subsurface flow flushed in during and after precipitation (decreasing SPC indicates rain-triggered subsurface flow and surface runoff), plus in-stream oxidation of CH4-rich peatland porewater; during drier low-flow periods CO2 and CH4 dynamics were strongly influenced by in-stream metabolism (photosynthesis/respiration diel cycles)</t>
  </si>
  <si>
    <t>continuous GHG concentrations and inferred fluxes 31 Mar-25 Aug 2023 (140 d); water level hourly 6 Apr-26 May then 10-min; discrete velocity measurements 6-25 Apr 2023; precipitation/air-T climatology 1991-2020 (Attenkam DWD station)</t>
  </si>
  <si>
    <t>total GHG budget in CO2-equivalents (762.2 g m-2 CO2-eq over 140 d); share emitted during rainfall events with significant water level rises</t>
  </si>
  <si>
    <t>flux: Table 3 (mean; SD 57.54; min 3.08; max 313.89); external 59%: Abstract; Discussion 4.2 - 'GHG emissions after rainfall events ... contributed 59% to the total budget, while covering only 31% of the observation period'; rainfall-event emissions are attributed by the authors to flushing of terrestrial peatland pore water (not an explicit internal/external partition); pH: Results 3.2 (mean ±0.2; range 7.1-8.5)</t>
  </si>
  <si>
    <t>Fluxes are per stream water-surface area. Cumulative 140-d balance: 762.2 g m-2 CO2-eq total (CO2 719.3; CH4 24.5; N2O 18.4); CO2 = 94.4% of budget (Results 3.5, Discussion 4.2). CH4 and N2O fluxes reported as mg C or N m-2 h-1 and multiplied by GWP 27.2 and 273 for CO2-eq. k600 from Raymond et al. (2012) eq. k600 = V x S^0.76 x 951.5, S = 0.001546 m m-1, divided by 24 for hourly; k range 0.004-0.099 (mean 0.023) m h-1. [as printed: GPP=NA ; ER=NA ; flux=61 mg C m-2 h-1 (CO2-C, stream water surface area)]</t>
  </si>
  <si>
    <t>10.1016/j.scitotenv.2016.10.187</t>
  </si>
  <si>
    <t>43 small streams (Strahler order 0-3), Côte-Nord boreal region, Québec, Canada (50.0-50.9°N, 67.4-66.0°W)</t>
  </si>
  <si>
    <t>CO2 supersaturation sustained by soil-derived carbon delivered by lateral soil water input: direct soil-derived CO2 injection (average 15%), oxidation of soil-derived CH4 (average 10%) and mineralization of soil-derived DOC (average 76%); DOC and CH4 transformations are inferred to occur mainly in the hyporheic zone (considered part of the stream), so the CO2 emitted ultimately represents terrestrially fixed C. Water column respiration alone could account for &lt;2% of the CO2 flux. Region on Canadian Shield with little carbonate, so weathering/carbonate contribution negligible.</t>
  </si>
  <si>
    <t>Single summer base-flow snapshot, July 2013 (all stream and soil water C concentrations); gas transfer coefficients (k) from floating-chamber measurements in a separate set of 50 rivers in the same region; discharge-flow accumulation model built from 48 additional river sites plus 29 of the 43 study sites</t>
  </si>
  <si>
    <t>total stream CO2 efflux to the atmosphere</t>
  </si>
  <si>
    <t>flux: Table A.1 'ALL' column; Section 3.1 (796 ± 90 mg C m-2 d-1); internal: Discussion p.908; pH: Table A.1</t>
  </si>
  <si>
    <t>CO2 flux stated as mg m-2 d-1 in Table A.1 but as mg C m-2 d-1 in text; mean water-column respiration 85 µg C L-1 d-1 converted by authors to 11 mg C m-2 d-1 assuming mean depth 0.13 m, which is &lt;2% of observed CO2 flux. Mean stream depth 0.2 m (Table A.1). k for CO2 = 1.088 m d-1, k for CH4 = 1.081 m d-1 (mean of order-specific values). [authors already carbon-referenced GPP/ER; no O2-&gt;C applied] [as printed: GPP=NA ; ER=85 µg C L-1 d-1 (water column respiration); flux=796 mg m-2 d-1 (CO2, per stream surface area)]</t>
  </si>
  <si>
    <t>ER units; aggregate row</t>
  </si>
  <si>
    <t>10.1002/lno.70372</t>
  </si>
  <si>
    <t>Education Creek, Litchfield National Park, Northern Territory, Australia (wet-dry tropical savanna headwater catchment, 3.16 km2)</t>
  </si>
  <si>
    <t>CO2 predominantly imported from the surrounding terrestrial environment as external lateral inputs (shallow subsurface stormflow/lateral throughflow through riparian and hyporheic zones and shallow groundwater, plus seasonally flooded upland wetlands); smaller contributions from upstream import, internal aquatic metabolism (&lt;10%) and CH4 oxidation. DOC fuelling in-stream respiration is itself likely riparian-derived.</t>
  </si>
  <si>
    <t>Water year 1 Nov 2023-31 Oct 2024 for all variables; high-frequency (10-min) CO2, DO, PAR, temperature and stage at up- and downstream stations; monthly spot CO2/CH4 concentrations and CH4 isotopes; piezometers/subsurface inflows sampled ~every 3 months (subsurface inflows only 6 Mar and 3 Apr 2024); CO2 mass balance at daily time step, CH4 mass balance at monthly time step; metabolism modelled daily from downstream station</t>
  </si>
  <si>
    <t>Mean dissolved CO2 concentration 50 uM (dry 53, wet 46 uM); mean CH4 0.3 uM - concentrations, not fluxes. Mean DO 7.1 mg L-1. Wet/dry mean discharge 95 vs 12 L s-1. Metabolism was modelled from this station's time series (one-station model, footprint = whole 1.2 km reach); GPP/ER converted from O2 to C with PQ and RQ of 1. [authors already carbon-referenced GPP/ER; no O2-&gt;C applied] [as printed: GPP=NA ; ER=NA ; flux=NA ]  || 2026-09-08 ROUND2: Back-filled from v2. CO2 flux, Internal, External, GPP and ER are REACH-LEVEL values that v2 assigned identically to both the upstream (EC) and downstream (EC.DS) stations - they are not station-specific. Only pH (EC 4.642, EC.DS 5.079) and discharge differ between stations. Internal contribution 3.4%.</t>
  </si>
  <si>
    <t>Mean dissolved CO2 concentration 343 uM (dry 431 uM, wet 255 uM); mean CH4 1.4 uM (dry 0.7, wet 1.6 uM) - concentrations, not fluxes. Wet/dry season mean discharge 49 vs 5 L s-1. Study-period precipitation 1722 mm (91% in wet season); 1897 mm is the 2003-2023 long-term mean. [authors already carbon-referenced GPP/ER; no O2-&gt;C applied] [as printed: GPP=NA ; ER=NA ; flux=NA ]  || 2026-09-08 ROUND2: Back-filled from v2. CO2 flux, Internal, External, GPP and ER are REACH-LEVEL values that v2 assigned identically to both the upstream (EC) and downstream (EC.DS) stations - they are not station-specific. Only pH (EC 4.642, EC.DS 5.079) and discharge differ between stations. Internal contribution 3.4%.</t>
  </si>
  <si>
    <t>10.1111/gcb.14895</t>
  </si>
  <si>
    <t>Miellajokka catchment (52.5 km2), Abisko, north-western Sweden; sub-Arctic/Arctic tundra and mountain birch streams</t>
  </si>
  <si>
    <t>Streams consistently heterotrophic; in-stream (aquatic) ecosystem respiration of terrestrially derived organic C sustained CO2 evasion throughout the summer and was the major contributor to evasion; NEP contribution 80%-182% of evasion, with M16 and M17 showing an offset from the 1:1 O2-CO2 line indicating an additional external CO2 source uncoupled from O2 dynamics (soil/groundwater); photo-oxidation estimated to explain at most ~20% of evasion; mass balance along a losing reach indicates CO2 produced internally within the channel</t>
  </si>
  <si>
    <t>Continuous CO2 and O2: 2015 5-7 Jul to 7 Sep; 2016 15-17 Jun to 8 Sep. Metabolism modelled daily (n = 39-135 d per site, night-time-regression K600 restricted to days from 25 Jul onwards). Mass-balance reach (Rocher-Ros et al. 2019 synoptic data) is a single day/synoptic campaign.</t>
  </si>
  <si>
    <t>CO2 mass balance of the reach (production vs. evasion)</t>
  </si>
  <si>
    <t>flux: Results 3.5, p.1409 (average CO2 evasion along reach); internal: Results 3.5 and Fig. 6c: CO2 produced within stream averaged 2.6 g C m-2 day-1 (range 0.86-5.46 across five 300-480 m segments)</t>
  </si>
  <si>
    <t>pCO2 increased 400 to 1,000 ppm along reach; K600 dropped 54.3 to 7.8 d-1; NEP measured the same day at M1 (~800 m downstream) was -2.8 g C m-2 day-1; based on synoptic data of Rocher-Ros et al. (2019) [authors already carbon-referenced GPP/ER; no O2-&gt;C applied] [as printed: GPP=NA ; ER=NA ; flux=2.7 g C m-2 day-1 (stream surface area)]</t>
  </si>
  <si>
    <t>total CO2 evasion (NEP as % of CO2 evasion; &gt;100% means NEP exceeds evasion)</t>
  </si>
  <si>
    <t>GPP: Table 2; ER: Table 2; flux: Table 2</t>
  </si>
  <si>
    <t>NEP = -2.4 g C m-2 day-1 (Table 2). Metabolism converted from O2 to C assuming 1 mol O2 = 1 mol CO2. Mean CO2 evasion at noon/midnight = 1.02/1.51 g C m-2 day-1. Catchment area 51.5 km2; total stream surface area of network 0.151 km2 of 52.5 km2 catchment. [authors already carbon-referenced GPP/ER; no O2-&gt;C applied] [as printed: GPP=0.21 g C m-2 day-1; ER=-2.63 g C m-2 day-1; flux=1.3 g C m-2 day-1 (stream surface area)]  || 2026-09-08 ROUND2: pH 7.50 back-filled from v2, which carries the same single value for all six M-sites (study-wide, not site-specific). Not applied to the 2.1 km losing reach row, which v2 does not cover.</t>
  </si>
  <si>
    <t>total CO2 evasion (NEP as % of CO2 evasion)</t>
  </si>
  <si>
    <t>NEP = -1.3 g C m-2 day-1; noon/midnight evasion 0.75/0.93; catchment area 8.6 km2; lowest mean pCO2 (740 ppm) [authors already carbon-referenced GPP/ER; no O2-&gt;C applied] [as printed: GPP=0.28 g C m-2 day-1; ER=-1.61 g C m-2 day-1; flux=0.8 g C m-2 day-1 (stream surface area)]  || 2026-09-08 ROUND2: pH 7.50 back-filled from v2, which carries the same single value for all six M-sites (study-wide, not site-specific). Not applied to the 2.1 km losing reach row, which v2 does not cover.</t>
  </si>
  <si>
    <t>NEP = -2.1 g C m-2 day-1; noon/midnight evasion 2.19/3.01; catchment area 0.7 km2; mean pCO2 1,990 ppm [authors already carbon-referenced GPP/ER; no O2-&gt;C applied] [as printed: GPP=0.24 g C m-2 day-1; ER=-2.37 g C m-2 day-1; flux=2.7 g C m-2 day-1 (stream surface area)]  || 2026-09-08 ROUND2: pH 7.50 back-filled from v2, which carries the same single value for all six M-sites (study-wide, not site-specific). Not applied to the 2.1 km losing reach row, which v2 does not cover.</t>
  </si>
  <si>
    <t>GPP: Table 2; ER: Table 2; flux: Table 2; internal 80%: Results 3.4, p.1408: median contribution of NEP to CO2 evasion 80% in M17; Fig. 5c</t>
  </si>
  <si>
    <t>NEP = -1.2 g C m-2 day-1; noon/midnight evasion 1.26/1.67; catchment area 0.11 km2; highest mean pCO2 (2,460 ppm) [authors already carbon-referenced GPP/ER; no O2-&gt;C applied] [as printed: GPP=0.19 g C m-2 day-1; ER=-1.35 g C m-2 day-1; flux=1.4 g C m-2 day-1 (stream surface area)]  || 2026-09-08 ROUND2: pH 7.50 back-filled from v2, which carries the same single value for all six M-sites (study-wide, not site-specific). Not applied to the 2.1 km losing reach row, which v2 does not cover.</t>
  </si>
  <si>
    <t>NEP = -1.9 g C m-2 day-1 (Table 2); noon/midnight evasion 1.53/1.55; catchment area 1.8 km2; K600 21-57 d-1 group (high-K) [authors already carbon-referenced GPP/ER; no O2-&gt;C applied] [as printed: GPP=0.15 g C m-2 day-1; ER=-2.08 g C m-2 day-1; flux=1.5 g C m-2 day-1 (stream surface area)]  || 2026-09-08 ROUND2: pH 7.50 back-filled from v2, which carries the same single value for all six M-sites (study-wide, not site-specific). Not applied to the 2.1 km losing reach row, which v2 does not cover.</t>
  </si>
  <si>
    <t>NEP = -1.4 g C m-2 day-1; noon/midnight evasion 1.21/1.52; catchment area 10.9 km2 [authors already carbon-referenced GPP/ER; no O2-&gt;C applied] [as printed: GPP=0.24 g C m-2 day-1; ER=-1.29 g C m-2 day-1; flux=1.3 g C m-2 day-1 (stream surface area)]  || 2026-09-08 ROUND2: pH 7.50 back-filled from v2, which carries the same single value for all six M-sites (study-wide, not site-specific). Not applied to the 2.1 km losing reach row, which v2 does not cover.</t>
  </si>
  <si>
    <t>10.1029/2025jg009370</t>
  </si>
  <si>
    <t>Louse Creek (Upper Louse, Lower Louse) and Porter Creek, Moccasin terrace, Judith River Watershed, central Montana, USA (semi-arid northern Great Plains)</t>
  </si>
  <si>
    <t>Lateral inputs of DIC from (a) riparian groundwater (upland groundwater processed through biogeochemically active riparian substrates; mean AT 9,000 ± 1,174 µmol/L, DIC 11,261 ± 1,227 µmol/L, DO ~16 µmol/L) and (b) springs sourced directly from the upland aquifer bypassing the riparian zone (mean AT 4,304 ± 60 µmol/L, DIC 4,480 ± 338 µmol/L, near-atmospheric DO), plus in-stream metabolic production (NEP). Riparian groundwater is identified as the major DIC source supporting channel CO2 emission and downstream export.</t>
  </si>
  <si>
    <t>Sensor deployments (pCO2 + DO, 15-min): UL 20-26 Jun 2019 (5 d), 26 May-3 Jun 2020 (7 d), 7-29 Jul 2020 (21 d), 6-24 Mar 2021 (18 d); LL 9 Jul-6 Aug 2020 (27 d), 15 Jun-12 Jul 2021 (27 d); PC 8 Jul-5 Aug 2020 (28 d), 4 Jun-27 Jul 2021 (53 d). Metabolism, CO2 flux and lateral inflow rates derived for these same windows. Alkalinity/DO of riparian groundwater and springs sampled only during the 2021 June-July deployment (with SpC-based checks across 2020-2021).</t>
  </si>
  <si>
    <t>daily CO2 emission flux from the reach (FCO2,air)</t>
  </si>
  <si>
    <t>flux: Results 3.5 (297 ± 9); internal 66%: Results 3.5: 'the increase in emission due to NEP was still 64% to 68% of FCO2,air'; midpoint of range</t>
  </si>
  <si>
    <t>Regression slope -0.57 ± 0.14, so part of NEP-derived DIC exported downstream. Emissions enhanced 188%-212% relative to the intercept. alpha = 0.0 d-1, beta = 4.5 d-1 (AT-based). Strong dilution FDIC,spr; FΔDIC = -1,898 ± 43 mmol m-2 d-1. pCO2 1,280 ± 650 µatm. [authors already carbon-referenced GPP/ER; no O2-&gt;C applied] [as printed: GPP=NA mmol m-2 d-1; ER=NA mmol m-2 d-1; flux=297 mmol m-2 d-1]  || 2026-09-07 RERUN: ROWS COLLAPSED (workbook-wide policy, 2026-09-07): repeat sampling events at the same site were averaged into a single site row (arithmetic mean of each numeric column over the events, skipping NA). N_rows_collapsed gives the number of source rows. Study-level aggregate/pooled rows are retained separately.  || 2026-09-08 ROUND3: REBUILT from the supplied data files. GPP and ER are per-reach means of GPP_DIC and ER_DIC from 'Shangguan et al., 2026- metabolic_parameters.csv' (units mmol m-2 d-1, confirmed against the paper's Table 2 notation; converted x0.012011 to gC/m2/d). The DIC-based rather than DO-based estimates are used because they are the carbon-relevant ones. Internal = |ER| - GPP. pH is the per-reach mean of 'Shangguan et al., 2026- alkalinity.csv'. CO2 flux computed from 'Shangguan et al., 2026-sensor_data.csv': excess CO2 = KH(T)*(pCO2-400) at each 15-min record, times kCO2, then the median. kCO2 DIGITIZED FROM FIGURE 6 as a per-reach mean over deployments: UL 4.88 m/d (2021 March 2.4; 2020 May 5.5; 2019 June 5.8; 2020 July 5.8), LL 4.80 (2021 June-July 2.0; 2020 July 7.6), PC 3.20 (2021 June-July 3.1; 2020 July 3.3). Figure 6 is the only source of kCO2 - the CSVs do not contain it. Calibration check: the CO2 concentrations computed from the sensor file (UL 102.5, LL 41.5, PC 37.2 umol/L medians) reproduce the concentrations plotted on the Figure 6a y-axis (UL ~113, LL ~65, PC ~65) to within about 15%, the discrepancy being median-of-series versus per-deployment means. Note PC has NEGATIVE internal (-0.598) because GPP exceeds ER there - the reach is net autotrophic.</t>
  </si>
  <si>
    <t>daily CO2 emission flux from the reach (FCO2,air); metabolic contribution negative (inhibitive) here</t>
  </si>
  <si>
    <t>Spring-dominated reach: alpha = 0.4 d-1, beta = 5.6 d-1 (Table 3). FDIC,rip = 245 ± 38 mmol m-2 d-1 dominated DIC change despite small alpha. Regression slope -0.26 ± 0.06. pCO2 1,260 ± 790 µatm. [authors already carbon-referenced GPP/ER; no O2-&gt;C applied] [as printed: GPP=NA mmol m-2 d-1; ER=NA mmol m-2 d-1; flux=NA mmol m-2 d-1]  || 2026-09-07 RERUN: ROWS COLLAPSED (workbook-wide policy, 2026-09-07): repeat sampling events at the same site were averaged into a single site row (arithmetic mean of each numeric column over the events, skipping NA). N_rows_collapsed gives the number of source rows. Study-level aggregate/pooled rows are retained separately.  || 2026-09-08 ROUND3: REBUILT from the supplied data files. GPP and ER are per-reach means of GPP_DIC and ER_DIC from 'Shangguan et al., 2026- metabolic_parameters.csv' (units mmol m-2 d-1, confirmed against the paper's Table 2 notation; converted x0.012011 to gC/m2/d). The DIC-based rather than DO-based estimates are used because they are the carbon-relevant ones. Internal = |ER| - GPP. pH is the per-reach mean of 'Shangguan et al., 2026- alkalinity.csv'. CO2 flux computed from 'Shangguan et al., 2026-sensor_data.csv': excess CO2 = KH(T)*(pCO2-400) at each 15-min record, times kCO2, then the median. kCO2 DIGITIZED FROM FIGURE 6 as a per-reach mean over deployments: UL 4.88 m/d (2021 March 2.4; 2020 May 5.5; 2019 June 5.8; 2020 July 5.8), LL 4.80 (2021 June-July 2.0; 2020 July 7.6), PC 3.20 (2021 June-July 3.1; 2020 July 3.3). Figure 6 is the only source of kCO2 - the CSVs do not contain it. Calibration check: the CO2 concentrations computed from the sensor file (UL 102.5, LL 41.5, PC 37.2 umol/L medians) reproduce the concentrations plotted on the Figure 6a y-axis (UL ~113, LL ~65, PC ~65) to within about 15%, the discrepancy being median-of-series versus per-deployment means. Note PC has NEGATIVE internal (-0.598) because GPP exceeds ER there - the reach is net autotrophic.</t>
  </si>
  <si>
    <t>Fluxes are per unit stream bed area. Regression slope |S| = 1.24 ± 0.53 (Table S4) gives fraction of NEP-derived DIC emitted vs exported. Mean pCO2 2,160 ± 690 µatm; mean CO2 110 ± 40 µmol/L, DIC 5,980 ± 50 µmol/L (Table S3). Riparian inflow rate alpha = 1.1 d-1, spring beta = 0.0 d-1 (Table 3). [authors already carbon-referenced GPP/ER; no O2-&gt;C applied] [as printed: GPP=NA mmol m-2 d-1; ER=NA mmol m-2 d-1; flux=NA mmol m-2 d-1]  || 2026-09-07 RERUN: ROWS COLLAPSED (workbook-wide policy, 2026-09-07): repeat sampling events at the same site were averaged into a single site row (arithmetic mean of each numeric column over the events, skipping NA). N_rows_collapsed gives the number of source rows. Study-level aggregate/pooled rows are retained separately.  || 2026-09-08 ROUND3: REBUILT from the supplied data files. GPP and ER are per-reach means of GPP_DIC and ER_DIC from 'Shangguan et al., 2026- metabolic_parameters.csv' (units mmol m-2 d-1, confirmed against the paper's Table 2 notation; converted x0.012011 to gC/m2/d). The DIC-based rather than DO-based estimates are used because they are the carbon-relevant ones. Internal = |ER| - GPP. pH is the per-reach mean of 'Shangguan et al., 2026- alkalinity.csv'. CO2 flux computed from 'Shangguan et al., 2026-sensor_data.csv': excess CO2 = KH(T)*(pCO2-400) at each 15-min record, times kCO2, then the median. kCO2 DIGITIZED FROM FIGURE 6 as a per-reach mean over deployments: UL 4.88 m/d (2021 March 2.4; 2020 May 5.5; 2019 June 5.8; 2020 July 5.8), LL 4.80 (2021 June-July 2.0; 2020 July 7.6), PC 3.20 (2021 June-July 3.1; 2020 July 3.3). Figure 6 is the only source of kCO2 - the CSVs do not contain it. Calibration check: the CO2 concentrations computed from the sensor file (UL 102.5, LL 41.5, PC 37.2 umol/L medians) reproduce the concentrations plotted on the Figure 6a y-axis (UL ~113, LL ~65, PC ~65) to within about 15%, the discrepancy being median-of-series versus per-deployment means. Note PC has NEGATIVE internal (-0.598) because GPP exceeds ER there - the reach is net autotrophic.</t>
  </si>
  <si>
    <t>10.1002/lno.12334</t>
  </si>
  <si>
    <t>Manton Creek, a low-relief headwater stream (34 km2 catchment) in the wet–dry tropics near Darwin, Northern Territory, Australia</t>
  </si>
  <si>
    <t>Two sources considered: external terrestrially derived inorganic C via soil water and groundwater inflows, and internal CO2 produced by stream metabolism. During early storms and wet season the stream CO2 pool originated predominantly from external CO2 inputs (soil water and groundwater, facilitated by wetland–riparian–stream connectivity); during recession and dry season internal processes dominated, with carbonate dissolution/carbonate buffering linked to deep groundwater from a dolostone aquifer. Excess internally produced CO2 was inferred to be transported downstream.</t>
  </si>
  <si>
    <t>DO and pCO2 continuous 10-min monitoring Apr 2018–Mar 2021 (DO 748 d, pCO2 579 d); CO2 evasion estimated for 572 d (2018–2021); daily metabolism (GPP/ER/NEP) for 322 d between Dec 2019 and Mar 2021; NEP-to-FCO2 contribution for the 154 d when both were available; water quality/DOC discrete samples Nov 2017–Mar 2021 plus historic government data 1966–2011</t>
  </si>
  <si>
    <t>potential contribution of NEP to the CO2 evasion flux (values &gt;100% mean NEP exceeds evasion)</t>
  </si>
  <si>
    <t>GPP: Results, Stream metabolism estimates, p.1137 (median; range &lt;0.01 to 0.94, expressed as negative flux); ER: Results, Stream metabolism estimates, p.1137 (median; range 0.85–4.29, expressed as positive flux); flux: Results, Contribution of NEP to CO2 evasion, p.1138 — median of 572 d, range 0–6.70; median 1.01 (range 0.43–4.77) for the 154-d paired subset; Abstract gives median 1.09; internal: Abstract; Results p.1137 — median NEP (ER-GPP) for 322 d, range 0.84–4.06; for the 154-d paired subset median NEP = 1.37 g C m-2 d-1</t>
  </si>
  <si>
    <t>GPP expressed as negative and ER as positive flux by authors' sign convention; O2 fluxes converted to C using PQ and RQ varied between 0.8 and 1.2 (Monte Carlo, 10,000 iterations). Fluxes are per stream surface area. k from Raymond et al. (2012) Eq. 6, validated against floating-chamber measurements; kCO2 and kO2 from Wanninkhof (1992) Schmidt numbers. Abstract median CO2 evasion 1.09 vs 1.05 in Results (different subsets). [authors already carbon-referenced GPP/ER; no O2-&gt;C applied] [as printed: GPP=-0.11 g C m-2 d-1; ER=1.42 g C m-2 d-1; flux=1.05 g C m-2 d-1 (per stream water surface area)]  || 2026-09-08 ROUND2: pH 7.50 back-filled from v2 (Manton Creek).</t>
  </si>
  <si>
    <t>10.1029/2022jg006855</t>
  </si>
  <si>
    <t>First-order headwater stream draining an ombrotrophic peatland, La Romaine watershed, Côte-Nord, Québec, Eastern Canada (boreal; 50°31'N, 63°12'W; catchment 1.18 km2)</t>
  </si>
  <si>
    <t>Mass balance attributes ~81% of in-stream CO2 to peat porewater seepage (lateral subsurface discharge from peat porewater and hyporheic zone), 17% to in-stream production (NEP, including photo-oxidation) and 2% to CH4 oxidation; porewater seepage concluded the primary CH4 source. Upstream segments (a, b) dominated by soil-derived CO2 (δ13C ≈ -25‰) from adjacent coniferous/birch forest edge; downstream increasingly peat-derived (δ13C-CO2 0 to -10‰).</t>
  </si>
  <si>
    <t>Longitudinal (8 sites) discrete pCO2/pCH4 + isotopes: 7 campaigns, Jun 2019-Sep 2020; drifting-chamber fluxes and site-specific k: Jun, Aug, Sep 2019; continuous outlet (#8) pCO2/pCH4 every 3 h: 25 Jun-18 Aug 2020 (55 d); stream metabolism (GPP/ER at #8): 16 accepted days within 25 Jun-18 Aug 2020; 24-h diel isotope sampling 1-2 Aug 2019</t>
  </si>
  <si>
    <t>flux: Table S1 (mean 233, median 228; range 96-396)</t>
  </si>
  <si>
    <t>pCO2 mean 5,076 µatm; CH4 flux mean 0.5 mmol m-2 d-1; k600-CO2 mean 1.4 m d-1 (Table S1) [as printed: GPP=NA ; ER=NA ; flux=233 mmol m-2(stream) d-1]  || 2026-09-08 ROUND2: Internal/External back-filled from v2's approach: v2 applied a single study-wide internal share of 17.0% to every sampling point (verified: v2's internal/flux = 16.99-17.01% at all sites), which matches the whole-stream row's own 17% (1.406/8.268). Applied here to v3's flux values, so Internal = 0.17*flux and External = 0.83*flux. CAVEAT: this is a constant study-wide share, NOT a site-specific partition; only the outlet row (#8) has its own independently derived 48% from continuous monitoring. Temperature and discharge are per-site means from Taillardat supplement 2 (Location_ID P_start, P_1...P_6, P_outlet map to #1...#8 in order; confirmed by matching v2's temperatures exactly and by monotonically increasing discharge downstream). Discharge left blank for #1 and #2 because the supplement records velocity, depth and Q all as 0 there (not measured). pH 5.371 is a single study-wide value.</t>
  </si>
  <si>
    <t>flux: Table S1 (mean 230, median 216; range 106-384)</t>
  </si>
  <si>
    <t>pCO2 mean 5,072 µatm; CH4 flux mean 0.3 mmol m-2 d-1; k600-CO2 mean 1.4 m d-1 (Table S1) [as printed: GPP=NA ; ER=NA ; flux=230 mmol m-2(stream) d-1]  || 2026-09-08 ROUND2: Internal/External back-filled from v2's approach: v2 applied a single study-wide internal share of 17.0% to every sampling point (verified: v2's internal/flux = 16.99-17.01% at all sites), which matches the whole-stream row's own 17% (1.406/8.268). Applied here to v3's flux values, so Internal = 0.17*flux and External = 0.83*flux. CAVEAT: this is a constant study-wide share, NOT a site-specific partition; only the outlet row (#8) has its own independently derived 48% from continuous monitoring. Temperature and discharge are per-site means from Taillardat supplement 2 (Location_ID P_start, P_1...P_6, P_outlet map to #1...#8 in order; confirmed by matching v2's temperatures exactly and by monotonically increasing discharge downstream). Discharge left blank for #1 and #2 because the supplement records velocity, depth and Q all as 0 there (not measured). pH 5.371 is a single study-wide value.</t>
  </si>
  <si>
    <t>flux: Table S1 (mean 206, median 206; range 86-348)</t>
  </si>
  <si>
    <t>pCO2 mean 4,100 µatm; CH4 flux mean 2.0 mmol m-2 d-1; CH4 oxidation flux for segment c = 350.8 mmol m-2 d-1 (Table S1) [as printed: GPP=NA ; ER=NA ; flux=206 mmol m-2(stream) d-1]  || 2026-09-08 ROUND2: Internal/External back-filled from v2's approach: v2 applied a single study-wide internal share of 17.0% to every sampling point (verified: v2's internal/flux = 16.99-17.01% at all sites), which matches the whole-stream row's own 17% (1.406/8.268). Applied here to v3's flux values, so Internal = 0.17*flux and External = 0.83*flux. CAVEAT: this is a constant study-wide share, NOT a site-specific partition; only the outlet row (#8) has its own independently derived 48% from continuous monitoring. Temperature and discharge are per-site means from Taillardat supplement 2 (Location_ID P_start, P_1...P_6, P_outlet map to #1...#8 in order; confirmed by matching v2's temperatures exactly and by monotonically increasing discharge downstream). Discharge left blank for #1 and #2 because the supplement records velocity, depth and Q all as 0 there (not measured). pH 5.371 is a single study-wide value.</t>
  </si>
  <si>
    <t>flux: Table S1 (mean 1,171, median 991; range 509-2,191)</t>
  </si>
  <si>
    <t>pCO2 mean 12,580 µatm; CH4 flux mean 12.6 mmol m-2 d-1; segment d CH4 oxidation 3.4 mmol m-2 d-1 (Table S1) [as printed: GPP=NA ; ER=NA ; flux=1171 mmol m-2(stream) d-1]  || 2026-09-08 ROUND2: Internal/External back-filled from v2's approach: v2 applied a single study-wide internal share of 17.0% to every sampling point (verified: v2's internal/flux = 16.99-17.01% at all sites), which matches the whole-stream row's own 17% (1.406/8.268). Applied here to v3's flux values, so Internal = 0.17*flux and External = 0.83*flux. CAVEAT: this is a constant study-wide share, NOT a site-specific partition; only the outlet row (#8) has its own independently derived 48% from continuous monitoring. Temperature and discharge are per-site means from Taillardat supplement 2 (Location_ID P_start, P_1...P_6, P_outlet map to #1...#8 in order; confirmed by matching v2's temperatures exactly and by monotonically increasing discharge downstream). Discharge left blank for #1 and #2 because the supplement records velocity, depth and Q all as 0 there (not measured). pH 5.371 is a single study-wide value.</t>
  </si>
  <si>
    <t>flux: Table S1 (mean 782, median 828; range 492-1,137.6)</t>
  </si>
  <si>
    <t>pCO2 mean 11,218 µatm (max 23,306); CH4 flux mean 9.6 mmol m-2 d-1 (Table S1) [as printed: GPP=NA ; ER=NA ; flux=782 mmol m-2(stream) d-1]  || 2026-09-08 ROUND2: Internal/External back-filled from v2's approach: v2 applied a single study-wide internal share of 17.0% to every sampling point (verified: v2's internal/flux = 16.99-17.01% at all sites), which matches the whole-stream row's own 17% (1.406/8.268). Applied here to v3's flux values, so Internal = 0.17*flux and External = 0.83*flux. CAVEAT: this is a constant study-wide share, NOT a site-specific partition; only the outlet row (#8) has its own independently derived 48% from continuous monitoring. Temperature and discharge are per-site means from Taillardat supplement 2 (Location_ID P_start, P_1...P_6, P_outlet map to #1...#8 in order; confirmed by matching v2's temperatures exactly and by monotonically increasing discharge downstream). Discharge left blank for #1 and #2 because the supplement records velocity, depth and Q all as 0 there (not measured). pH 5.371 is a single study-wide value.</t>
  </si>
  <si>
    <t>flux: Table S1 (mean 1,130, median 902; range 480-1,994)</t>
  </si>
  <si>
    <t>pCO2 mean 9,053 µatm; CH4 flux mean 8.3 mmol m-2 d-1; k600-CO2 mean 3.2 m d-1 (Table S1) [as printed: GPP=NA ; ER=NA ; flux=1130 mmol m-2(stream) d-1]  || 2026-09-08 ROUND2: Internal/External back-filled from v2's approach: v2 applied a single study-wide internal share of 17.0% to every sampling point (verified: v2's internal/flux = 16.99-17.01% at all sites), which matches the whole-stream row's own 17% (1.406/8.268). Applied here to v3's flux values, so Internal = 0.17*flux and External = 0.83*flux. CAVEAT: this is a constant study-wide share, NOT a site-specific partition; only the outlet row (#8) has its own independently derived 48% from continuous monitoring. Temperature and discharge are per-site means from Taillardat supplement 2 (Location_ID P_start, P_1...P_6, P_outlet map to #1...#8 in order; confirmed by matching v2's temperatures exactly and by monotonically increasing discharge downstream). Discharge left blank for #1 and #2 because the supplement records velocity, depth and Q all as 0 there (not measured). pH 5.371 is a single study-wide value.</t>
  </si>
  <si>
    <t>flux: Table S1 (mean 691, median 583; range 461-1,308)</t>
  </si>
  <si>
    <t>pCO2 mean 4,388 µatm; CH4 flux mean 6.7 mmol m-2 d-1; highest k600 (CO2 median 4.27, CH4 5.24 m d-1) (Table S1, Results 3.1.2) [as printed: GPP=NA ; ER=NA ; flux=691 mmol m-2(stream) d-1]  || 2026-09-08 ROUND2: Internal/External back-filled from v2's approach: v2 applied a single study-wide internal share of 17.0% to every sampling point (verified: v2's internal/flux = 16.99-17.01% at all sites), which matches the whole-stream row's own 17% (1.406/8.268). Applied here to v3's flux values, so Internal = 0.17*flux and External = 0.83*flux. CAVEAT: this is a constant study-wide share, NOT a site-specific partition; only the outlet row (#8) has its own independently derived 48% from continuous monitoring. Temperature and discharge are per-site means from Taillardat supplement 2 (Location_ID P_start, P_1...P_6, P_outlet map to #1...#8 in order; confirmed by matching v2's temperatures exactly and by monotonically increasing discharge downstream). Discharge left blank for #1 and #2 because the supplement records velocity, depth and Q all as 0 there (not measured). pH 5.371 is a single study-wide value.</t>
  </si>
  <si>
    <t>GPP: Table S2 (median of 16 accepted days at point #8); mean 1.87; ER: Table S2 (median of 16 accepted days at point #8); mean -6.90; flux: Table S1 (mean 324, median 305; range 218-475)</t>
  </si>
  <si>
    <t>pCO2 mean 8,062 µatm; CH4 flux mean 16.9 mmol m-2 d-1; k600-CO2 mean 1.1 m d-1; downstream CO2 export median 585.61 mol d-1 = 0.50 mmol m-2(catchment) d-1 and CH4 27.44 mol d-1 = 23.25 µmol m-2(catchment) d-1 (Results 3.1.5); NEP at this site applied to all segments in mass balance [as printed: GPP=1.83 g O2 m-2 d-1; ER=-6.81 g O2 m-2 d-1; flux=324 mmol m-2(stream) d-1]</t>
  </si>
  <si>
    <t>10.1016/j.scitotenv.2021.146230</t>
  </si>
  <si>
    <t>Hailiutu River (43 km headwater reach), Hailiutu catchment, Yulin, Ordos Plateau, semiarid northwest China</t>
  </si>
  <si>
    <t>Terrestrially derived CO2 delivered by diffuse groundwater discharge; groundwater DIC/CO2 derived mainly from soil (riparian) respiration in a silicate-rock catchment (carbonate weathering considered unlikely); δ13CDIC of stream (-10.46 ± 0.34‰) and groundwater (-11.90 ± 1.92‰) consistent with C4-plant-derived soil CO2. Most terrestrial CO2 is converted to HCO3- by carbonate buffering rather than evaded.</t>
  </si>
  <si>
    <t>Single synoptic survey 9-14 May 2019 (dry season); all carbon fluxes, groundwater discharge, O2 mass balance and CO2 evasion refer to this survey. Long-term mean discharge (2.41 m3 s-1) refers to 2001-2007 gauging record; precipitation is a long-term annual mean.</t>
  </si>
  <si>
    <t>single measurement</t>
  </si>
  <si>
    <t>internal: Table S3</t>
  </si>
  <si>
    <t>internal_co2 = net internal CO2 production (respiration minus photosynthesis, RQ 0.85, PQ 1.2); external_co2 = terrestrial (groundwater) CO2 input; both normalised to reach water surface area (8164 m2). Negative internal value = net autotrophy. [authors already carbon-referenced GPP/ER; no O2-&gt;C applied] [as printed: GPP=NA ; ER=NA ; flux=NA ]</t>
  </si>
  <si>
    <t>Reach water surface area 19872 m2. [authors already carbon-referenced GPP/ER; no O2-&gt;C applied] [as printed: GPP=NA ; ER=NA ; flux=NA ]</t>
  </si>
  <si>
    <t>Reach water surface area 21714 m2. [authors already carbon-referenced GPP/ER; no O2-&gt;C applied] [as printed: GPP=NA ; ER=NA ; flux=NA ]</t>
  </si>
  <si>
    <t>Reach water surface area 16912 m2. [authors already carbon-referenced GPP/ER; no O2-&gt;C applied] [as printed: GPP=NA ; ER=NA ; flux=NA ]</t>
  </si>
  <si>
    <t>Reach water surface area 24400 m2. [authors already carbon-referenced GPP/ER; no O2-&gt;C applied] [as printed: GPP=NA ; ER=NA ; flux=NA ]</t>
  </si>
  <si>
    <t>Reach water surface area 29666 m2. [authors already carbon-referenced GPP/ER; no O2-&gt;C applied] [as printed: GPP=NA ; ER=NA ; flux=NA ]</t>
  </si>
  <si>
    <t>Reach water surface area 24260.5 m2; lowest groundwater discharge rate I of all reaches (Results 3.1). [authors already carbon-referenced GPP/ER; no O2-&gt;C applied] [as printed: GPP=NA ; ER=NA ; flux=NA ]</t>
  </si>
  <si>
    <t>Reach water surface area 29829 m2. [authors already carbon-referenced GPP/ER; no O2-&gt;C applied] [as printed: GPP=NA ; ER=NA ; flux=NA ]</t>
  </si>
  <si>
    <t>Reach water surface area 7920 m2; fluxes per stream water surface area. [authors already carbon-referenced GPP/ER; no O2-&gt;C applied] [as printed: GPP=NA ; ER=NA ; flux=NA ]</t>
  </si>
  <si>
    <t>Reach water surface area 11193 m2; fluxes per stream water surface area. [authors already carbon-referenced GPP/ER; no O2-&gt;C applied] [as printed: GPP=NA ; ER=NA ; flux=NA ]</t>
  </si>
  <si>
    <t>Reach water surface area 6929 m2; negative internal value = net autotrophy. [authors already carbon-referenced GPP/ER; no O2-&gt;C applied] [as printed: GPP=NA ; ER=NA ; flux=NA ]</t>
  </si>
  <si>
    <t>Reach water surface area 8010 m2. [authors already carbon-referenced GPP/ER; no O2-&gt;C applied] [as printed: GPP=NA ; ER=NA ; flux=NA ]</t>
  </si>
  <si>
    <t>Reach water surface area 11725 m2. [authors already carbon-referenced GPP/ER; no O2-&gt;C applied] [as printed: GPP=NA ; ER=NA ; flux=NA ]</t>
  </si>
  <si>
    <t>Reach water surface area 22428 m2. [authors already carbon-referenced GPP/ER; no O2-&gt;C applied] [as printed: GPP=NA ; ER=NA ; flux=NA ]</t>
  </si>
  <si>
    <t>Reach water surface area 21296 m2; highest groundwater discharge rate I of all reaches (Results 3.1). [authors already carbon-referenced GPP/ER; no O2-&gt;C applied] [as printed: GPP=NA ; ER=NA ; flux=NA ]</t>
  </si>
  <si>
    <t>Reach water surface area 16819 m2. [authors already carbon-referenced GPP/ER; no O2-&gt;C applied] [as printed: GPP=NA ; ER=NA ; flux=NA ]</t>
  </si>
  <si>
    <t>10.1021/acs.est.3c03378</t>
  </si>
  <si>
    <t>Bulang River, a first-order groundwater-fed stream in the Hailiutu River catchment, Ordos Basin, northwest China (semiarid, xeric shrubland/sand dunes)</t>
  </si>
  <si>
    <t>Groundwater discharge (both vertical through the streambed and lateral from both banks) was the predominant and stable CO2 source, accounting for ~60% of CO2 inputs to the stream; the remainder came from internal CO2 production by stream metabolism (respiration, strongest at night) with carbonate dissolution at night and carbonate precipitation during the day. For CH4, groundwater supplied ~30% of inputs while methanogenesis in streambed sediments supplied the rest.</t>
  </si>
  <si>
    <t>All variables (dissolved He, Ar, Kr, N2, O2, CO2, CH4 hourly time series; derived k600, groundwater discharge, metabolism, CO2 and CH4 fluxes) from 28 November to 2-3 December 2021 (5 days); groundwater/stream water-level data used for the diurnal gradient are from 13-17 November 2021</t>
  </si>
  <si>
    <t>total CO2 inputs to the stream (groundwater input vs. in-stream production), which sustain stream CO2 emission to the atmosphere</t>
  </si>
  <si>
    <t>flux: Results, p.13491: nighttime stream CO2 emission rate 0.50 mol m-2 day-1 (compared with 0.47 global northern temperate); daytime rate stated to be 5 times lower; diurnal variation 500%; external 60%: Abstract and Fig. 4 caption: 'Groundwater accounted for ∼60% of CO2 ... inputs to the stream'</t>
  </si>
  <si>
    <t>All rates in Fig. 3 were normalized to the stream surface area. Stream width 1.2 m, depth 0.16-0.18 m. k600 = 8.9 (7.1-9.7) m day-1, calibrated by MCMC/DREAM against measured Ar and Kr time series and scaled to other gases via Schmidt-number equation (Raymond et al. 2012). Metabolism reported in mol O2 m-2 day-1; a 1:1 CO2:O2 stoichiometry was assumed by the authors, so O2 rates convert directly to CO2 rates. Carbonate (chemical) CO2 reaction rate 0-0.4 mol m-2 day-1 (precipitation adding CO2 during day). Methanogenesis ~1.6e-4 mol m-2 day-1 and stream CH4 emission ~2.0e-4 mol m-2 day-1; groundwater = ~30% of CH4 inputs. [as printed: GPP=NA ; ER=NA ; flux=0.5 mol m-2 day-1]</t>
  </si>
  <si>
    <t>10.1002/2016JG003549</t>
  </si>
  <si>
    <t>Fluvia River fluvial network, NE Iberian Peninsula (Catalonia, Spain); Mediterranean climate; 12 segments spanning stream orders 2-6, of which 8 are lotic and 4 lentic (impounded by small dams)</t>
  </si>
  <si>
    <t>CO2 emission partitioned between internal metabolism (net ecosystem production from diel open-water O2) and all other sources (external DIC inputs from the catchment plus internal geochemical and photochemical reactions), the latter obtained by difference from a segment-scale CO2 mass balance</t>
  </si>
  <si>
    <t>floating chamber</t>
  </si>
  <si>
    <t>12 campaigns over one year (2013-2014), spanning a high-flow period (end of May 2013) and a low-flow period (end of August 2013); 32 lotic segment-dates in total</t>
  </si>
  <si>
    <t>GPP, ER and NEP: supplement Table S2 (per-segment means, mmol m-2 d-1). Discharge, velocity, width, depth, slope, stream order, segment length: supplement Table S1. CO2 emission: Table 1 (lotic-segment mean, 172 mmol m-2 d-1). pH: carried from v2.</t>
  </si>
  <si>
    <t>|| 2026-09-08 ROUND3: NEW ROWS replacing the previous three pooled Gomez-Gener rows. Only the LOTIC segments are retained per user instruction; the lentic-segment row, the whole-network row and the lotic aggregate row were deleted. Segments 1-8 are lotic and 9-12 lentic, confirmed by supplement Table S1 (Hydrological habitat column) and by the segment counts (lotic n=32 segment-dates, lentic n=10). GPP, ER and NEP are per-segment means from supplement Table S2 in mmol m-2 d-1, converted x0.012011 to gC/m2/d with RQ=PQ=1; Internal = |ER| - GPP, which reproduces the tabulated NEP exactly for all 8 segments. Discharge, velocity, width, depth, slope, stream order and segment length are per-segment means from supplement Table S1 (discharge taken directly rather than imputed as width*depth*velocity, which disagrees because each is separately averaged over 12 sampling dates). SIGN CORRECTION: the previous Gomez-Gener rows stored CO2 emission as NEGATIVE (-2.064 gC/m2/d), inconsistent with every other paper in this workbook where positive = emission to atmosphere; it is now stored as +2.066 gC/m2/d. CO2 FLUX CAVEAT: the paper reports no per-segment emission, so all 8 rows carry the SAME value - the lotic-segment mean emission of 172 mmol m-2 d-1 from Table 1 (per user instruction). Internal_Pct therefore varies only because Internal varies, and ranges 1.5-70% across segments; treat per-segment internal shares as indicative, not measured. pH 7.75 is the single lotic value carried in v2. Note the paper's own headline is that internal metabolism sustained 24% of lotic CO2 emissions, whereas the mean of these 8 per-segment shares is higher; the paper's 24% is computed over segment-dates, not as a ratio of means.</t>
  </si>
  <si>
    <t>2026-09-08</t>
  </si>
  <si>
    <t>Biome</t>
  </si>
  <si>
    <t>Biome_Detail</t>
  </si>
  <si>
    <t>Source_Water</t>
  </si>
  <si>
    <t>Source_Water_Basis</t>
  </si>
  <si>
    <t>Temperate</t>
  </si>
  <si>
    <t>Temperate broadleaf &amp; mixed forest</t>
  </si>
  <si>
    <t>Surface runoff</t>
  </si>
  <si>
    <t>Aho 2021: 66-85% forested Connecticut River / Farmington sub-basin catchments; groundwater is not mentioned anywhere in the paper.</t>
  </si>
  <si>
    <t>Subtropical</t>
  </si>
  <si>
    <t>Tropical &amp; subtropical grassland, savanna &amp; shrubland</t>
  </si>
  <si>
    <t>Bega 2026: seven SE Brazilian (Cerrado / Atlantic Forest transition) reaches contrasted by land use; no groundwater or spring inputs reported or quantified.</t>
  </si>
  <si>
    <t>Mediterranean</t>
  </si>
  <si>
    <t>Mediterranean forest, woodland &amp; scrub</t>
  </si>
  <si>
    <t>Groundwater-fed</t>
  </si>
  <si>
    <t>Bernal 2022: 'Both streams are spring fed' (Font del Regas perennial, Fuirosos non-perennial), granitic La Tordera catchment.</t>
  </si>
  <si>
    <t>Bertuzzo 2022 gives no hydrologic source description; assigned from regional hydrogeology - Black Earth Creek (WI) is a spring-fed, groundwater-dominated limestone-valley stream. INFERRED, not stated in the source paper.</t>
  </si>
  <si>
    <t>Mixed</t>
  </si>
  <si>
    <t>Carter 2022: forested Piedmont blackwater reach; groundwater flux quantified from the downstream discharge gain (gaining reach at baseflow) alongside storm-driven surface delivery, though metabolism rather than groundwater dominates the CO2 signal.</t>
  </si>
  <si>
    <t>Crawford 2014: NHLD streamflow 'is a mixture of groundwater and surface flows from lakes but is typically dominated by longer groundwater flow paths' through the sand aquifer; permeable sands and extensive peats limit surface runoff.</t>
  </si>
  <si>
    <t>Temperate grassland &amp; shrubland (upland heath/moorland)</t>
  </si>
  <si>
    <t>Wetland seepage</t>
  </si>
  <si>
    <t>Demars 2019: Glensaugh catchment tops (&gt;400 m) under &gt;0.5 m of deep peat, peaty podzols and peaty gleys flanking the streams, rushes in the flushes; baseflow index 0.43 - a flashy, peat-routed regime the author explicitly contrasts with groundwater-fed streams.</t>
  </si>
  <si>
    <t>Tropical</t>
  </si>
  <si>
    <t>Duvert 2019: Daly and Howard Rivers 'are known to be largely groundwater-fed during the dry season'; flow sustained by sandstone and carbonate aquifers, with ~10% of rainfall reaching the water table and then entering the river as baseflow.</t>
  </si>
  <si>
    <t>Tropical &amp; subtropical moist broadleaf forest</t>
  </si>
  <si>
    <t>Gong 2021: mountainous and agricultural subtropical-monsoon headwaters (Yankou and Tianmu Lake catchments); groundwater entry is noted only as a caveat on the metabolism method, never measured.</t>
  </si>
  <si>
    <t>Temperate grassland &amp; shrubland</t>
  </si>
  <si>
    <t>Hall 2026: 'Blaine Creek is an agricultural, spring-fed stream'; 'as a spring stream, Blaine Creek was gaining within the study reach', with groundwater inputs high in CO2.</t>
  </si>
  <si>
    <t>Temperate coniferous forest (SE coastal plain)</t>
  </si>
  <si>
    <t>Khadka 2014, lower Santa Fe (River Rise, 2500, 2700, 2800): unconfined karst reach fed by artesian Floridan aquifer springs but also carrying upper-basin blackwater re-emerging at the River Rise; spring water dominates only at low flow.</t>
  </si>
  <si>
    <t>Khadka 2014, upper Santa Fe (700, 1000, 1500, River Sink): the Hawthorn Group confining unit isolates the deep aquifer, leaving a perched surficial system draining extensive wetlands (17.9% of the watershed) as blackwater.</t>
  </si>
  <si>
    <t>Kirk &amp; Cohen 2023, upper-basin reaches (DRAIN, SF700, SF1000, SF1500): the confining unit creates a shallow perched aquifer, and 'interactions with wetlands, which comprise 9% of the upper basin area, make sites in the upper SF blackwater streams'.</t>
  </si>
  <si>
    <t>Kirk &amp; Cohen 2023: ICHE (Ichetucknee) is a spring-fed tributary receiving discrete artesian Floridan aquifer inputs; clear, alkaline, thermally stable spring water dominates its discharge except at the highest flows.</t>
  </si>
  <si>
    <t>Kirk &amp; Cohen 2023, lower-basin reaches (SF2500, SF2800): artesian spring inputs dominate total discharge at low streamflow while the blackwater upper basin dominates at higher flow - explicitly a time-varying blend.</t>
  </si>
  <si>
    <t>Leng 2025: channelized agricultural lowland Elbe catchment; 'the interaction between the river and groundwater is limited due to very low groundwater recharge in the surrounding area'.</t>
  </si>
  <si>
    <t>Anthropogenic canal (temperate)</t>
  </si>
  <si>
    <t>Liu 2026: engineered SNWD-MRP transfer canal carrying surface water released from Danjiangkou Reservoir; not a natural catchment, so no terrestrial source-water pathway strictly applies.</t>
  </si>
  <si>
    <t>Cryosphere</t>
  </si>
  <si>
    <t>Boreal forest (taiga)</t>
  </si>
  <si>
    <t>Lupon 2019: Krycklan C5-C6 reach below Lake Stortjarn; five major groundwater input zones drain ~70% of the reach catchment and are routed through riparian zones 'characterized by deeper peat deposits'.</t>
  </si>
  <si>
    <t>Marzolf 2022 / Oviedo-Vargas 2015: the Taconazo is 'fed exclusively by local groundwater recharged within the catchment', with no regional groundwater input.</t>
  </si>
  <si>
    <t>Moustapha 2022 partitions stream carbon between non-flooded (well-drained) forest groundwater and flat riparian wetlands, both quantified; groundwater exported ~1.6x more C than wetland in the Mengong first-order catchment.</t>
  </si>
  <si>
    <t>Nguyen 2025: middle Loire; the long-term decline in external CO2 is attributed mainly to a decreasing groundwater contribution, alongside soil, wetland and side-channel/floodplain surface sources.</t>
  </si>
  <si>
    <t>Oviedo-Vargas 2015: in the lower Arboleda 'approximately one third of the streamflow is from regional groundwater', which raised CO2 evasion ~7.5x over reaches without regional groundwater.</t>
  </si>
  <si>
    <t>Piatka 2024: Haselbach drains a peatland-dominated pre-alpine catchment; dissolved CO2/CH4 track peatland pore waters flushed into the stream after precipitation and follow the peatland water-table depth.</t>
  </si>
  <si>
    <t>Rexroade 2026: 'Education Creek is a perennial, groundwater-fed, headwater stream atop a porous sandstone plateau', sustained by discharge from the shallow sandstone water table; the upstream station's footprint is a seasonally flooded upland wetland maintained by that same discharge.</t>
  </si>
  <si>
    <t>Tundra</t>
  </si>
  <si>
    <t>Rocher-Ros 2020: sub-Arctic Miellajokka; snowmelt-driven regime, sites chosen for 'minimal groundwater inputs immediately upstream of deployment sites', and the mass-balance reach is a losing reach with no net groundwater contribution.</t>
  </si>
  <si>
    <t>Shangguan 2026: semi-arid Judith River watershed streams fed by surface springs sourced from upland aquifers plus subsurface riparian groundwater; the paper's subject is riparian processing of those upland groundwaters.</t>
  </si>
  <si>
    <t>Solano 2023: Manton Creek is monsoon-driven and intermittent (documented no-flow periods), and the authors 'verified the absence of tributaries and significant groundwater inflows' along the ~475 m study reach.</t>
  </si>
  <si>
    <t>Taillardat 2022: first-order stream draining an ombrotrophic peatland; a mass balance attributes ~81% of in-stream CO2 to peat porewater seepage, with concentrations tracking peatland water-table depth.</t>
  </si>
  <si>
    <t>Desert</t>
  </si>
  <si>
    <t>Desert &amp; xeric shrubland</t>
  </si>
  <si>
    <t>Wang 2021: 'diffuse groundwater discharge controls terrestrial carbon input to the stream' along the 43 km Hailiutu headwater; discharge rates quantified with Rn-222 and a numerical flow model, and groundwater was CO2-supersaturated at all sites.</t>
  </si>
  <si>
    <t>Wang 2023: the Bulang River is studied explicitly as a groundwater-stream-atmosphere continuum in the same semiarid Hailiutu catchment; a first-order groundwater-fed stream.</t>
  </si>
  <si>
    <t>Gomez-Gener 2016: Mediterranean, mostly calcareous Fluvia network; groundwater appears only as one unquantified term inside the residual 'other sources' pool, never measured or partitioned.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</si>
</sst>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scheme val="minor"/>
    </font>
    <font>
      <b/>
      <sz val="11"/>
      <color rgb="FF000000"/>
      <name val="Calibri"/>
    </font>
    <font>
      <sz val="11"/>
      <color rgb="FF000000"/>
      <name val="Calibri"/>
    </font>
  </fonts>
  <fills count="3">
    <fill>
      <patternFill patternType="none"/>
    </fill>
    <fill>
      <patternFill patternType="gray125"/>
    </fill>
    <fill>
      <patternFill patternType="solid">
        <fgColor rgb="FFDCE6F1"/>
      </patternFill>
    </fill>
  </fills>
  <borders count="2">
    <border>
      <left/>
      <right/>
      <top/>
      <bottom/>
      <diagonal/>
    </border>
    <border>
      <left/>
      <right/>
      <top/>
      <bottom style="thin">
        <color rgb="FF000000"/>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left" vertical="top" wrapText="1"/>
    </xf>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R95"/>
  <sheetViews>
    <sheetView tabSelected="1" workbookViewId="0">
      <pane ySplit="1" topLeftCell="A50" activePane="bottomLeft" state="frozen"/>
      <selection pane="bottomLeft" activeCell="H50" sqref="H50"/>
    </sheetView>
  </sheetViews>
  <sheetFormatPr defaultColWidth="11.42578125" defaultRowHeight="15" x14ac:dyDescent="0.25"/>
  <cols>
    <col min="1" max="1" width="6.7109375" customWidth="1"/>
    <col min="2" max="2" width="8.85546875" customWidth="1"/>
    <col min="3" max="3" width="69.42578125" bestFit="1" customWidth="1"/>
    <col min="4" max="5" width="8.85546875" customWidth="1"/>
    <col min="6" max="6" width="28.42578125" bestFit="1" customWidth="1"/>
    <col min="7" max="7" width="28.7109375" bestFit="1" customWidth="1"/>
    <col min="8" max="8" width="21.85546875" bestFit="1" customWidth="1"/>
    <col min="9" max="18" width="8.85546875" customWidth="1"/>
  </cols>
  <sheetData>
    <row r="1" spans="1:18" x14ac:dyDescent="0.25">
      <c r="A1" t="s">
        <v>0</v>
      </c>
      <c r="B1" t="s">
        <v>1</v>
      </c>
      <c r="C1" t="s">
        <v>2</v>
      </c>
      <c r="D1" t="s">
        <v>3</v>
      </c>
      <c r="E1" t="s">
        <v>4</v>
      </c>
      <c r="F1" t="s">
        <v>5</v>
      </c>
      <c r="G1" t="s">
        <v>6</v>
      </c>
      <c r="H1" t="s">
        <v>7</v>
      </c>
      <c r="I1" t="s">
        <v>8</v>
      </c>
      <c r="J1" t="s">
        <v>9</v>
      </c>
      <c r="K1" t="s">
        <v>10</v>
      </c>
      <c r="L1" t="s">
        <v>11</v>
      </c>
      <c r="M1" t="s">
        <v>12</v>
      </c>
      <c r="N1" t="s">
        <v>13</v>
      </c>
      <c r="O1" s="1" t="s">
        <v>548</v>
      </c>
      <c r="P1" s="1" t="s">
        <v>549</v>
      </c>
      <c r="Q1" s="1" t="s">
        <v>550</v>
      </c>
      <c r="R1" s="1" t="s">
        <v>551</v>
      </c>
    </row>
    <row r="2" spans="1:18" ht="30" hidden="1" x14ac:dyDescent="0.25">
      <c r="A2" t="s">
        <v>14</v>
      </c>
      <c r="B2" t="s">
        <v>15</v>
      </c>
      <c r="C2" t="s">
        <v>16</v>
      </c>
      <c r="D2">
        <v>1</v>
      </c>
      <c r="E2">
        <v>0.70299999999999996</v>
      </c>
      <c r="F2">
        <v>-1.3049999999999999</v>
      </c>
      <c r="G2">
        <v>2.008</v>
      </c>
      <c r="H2">
        <v>0</v>
      </c>
      <c r="I2">
        <v>7.2750000000000004</v>
      </c>
      <c r="J2">
        <v>6.9470000000000001</v>
      </c>
      <c r="K2">
        <v>129.40799999999999</v>
      </c>
      <c r="L2">
        <v>7.9850000000000003</v>
      </c>
      <c r="M2">
        <v>25</v>
      </c>
      <c r="N2">
        <v>120.9</v>
      </c>
      <c r="O2" t="s">
        <v>552</v>
      </c>
      <c r="P2" s="2" t="s">
        <v>553</v>
      </c>
      <c r="Q2" s="2" t="s">
        <v>554</v>
      </c>
      <c r="R2" s="2" t="s">
        <v>555</v>
      </c>
    </row>
    <row r="3" spans="1:18" ht="30" hidden="1" x14ac:dyDescent="0.25">
      <c r="A3" t="s">
        <v>17</v>
      </c>
      <c r="B3" t="s">
        <v>15</v>
      </c>
      <c r="C3" t="s">
        <v>18</v>
      </c>
      <c r="D3">
        <v>1</v>
      </c>
      <c r="E3">
        <v>1.9259999999999999</v>
      </c>
      <c r="F3">
        <v>0.97599999999999998</v>
      </c>
      <c r="G3">
        <v>0.95</v>
      </c>
      <c r="H3">
        <f t="shared" ref="H3:H31" si="0">(F3/E3)*100</f>
        <v>50.674974039460018</v>
      </c>
      <c r="I3">
        <v>1.8839999999999999</v>
      </c>
      <c r="J3">
        <v>4.0819999999999999</v>
      </c>
      <c r="K3">
        <v>8.58</v>
      </c>
      <c r="L3">
        <v>7.34</v>
      </c>
      <c r="M3">
        <v>19.63</v>
      </c>
      <c r="N3">
        <v>120.9</v>
      </c>
      <c r="O3" t="s">
        <v>552</v>
      </c>
      <c r="P3" s="2" t="s">
        <v>553</v>
      </c>
      <c r="Q3" s="2" t="s">
        <v>554</v>
      </c>
      <c r="R3" s="2" t="s">
        <v>555</v>
      </c>
    </row>
    <row r="4" spans="1:18" ht="30" hidden="1" x14ac:dyDescent="0.25">
      <c r="A4" t="s">
        <v>19</v>
      </c>
      <c r="B4" t="s">
        <v>15</v>
      </c>
      <c r="C4" t="s">
        <v>20</v>
      </c>
      <c r="D4">
        <v>1</v>
      </c>
      <c r="E4">
        <v>1.5369999999999999</v>
      </c>
      <c r="F4">
        <v>-6.6000000000000003E-2</v>
      </c>
      <c r="G4">
        <v>1.603</v>
      </c>
      <c r="H4">
        <v>0</v>
      </c>
      <c r="I4">
        <v>1.3859999999999999</v>
      </c>
      <c r="J4">
        <v>1.4</v>
      </c>
      <c r="K4">
        <v>0.184</v>
      </c>
      <c r="L4">
        <v>6.67</v>
      </c>
      <c r="M4">
        <v>15.14</v>
      </c>
      <c r="N4">
        <v>120.9</v>
      </c>
      <c r="O4" t="s">
        <v>552</v>
      </c>
      <c r="P4" s="2" t="s">
        <v>553</v>
      </c>
      <c r="Q4" s="2" t="s">
        <v>554</v>
      </c>
      <c r="R4" s="2" t="s">
        <v>555</v>
      </c>
    </row>
    <row r="5" spans="1:18" ht="30" hidden="1" x14ac:dyDescent="0.25">
      <c r="A5" t="s">
        <v>21</v>
      </c>
      <c r="B5" t="s">
        <v>15</v>
      </c>
      <c r="C5" t="s">
        <v>22</v>
      </c>
      <c r="D5">
        <v>1</v>
      </c>
      <c r="E5">
        <v>0.92200000000000004</v>
      </c>
      <c r="F5">
        <v>1.5109999999999999</v>
      </c>
      <c r="G5">
        <v>-0.58899999999999997</v>
      </c>
      <c r="H5">
        <v>100</v>
      </c>
      <c r="I5">
        <v>0.58799999999999997</v>
      </c>
      <c r="J5">
        <v>2.0030000000000001</v>
      </c>
      <c r="K5">
        <v>0.22900000000000001</v>
      </c>
      <c r="L5">
        <v>6.84</v>
      </c>
      <c r="M5">
        <v>15.61</v>
      </c>
      <c r="N5">
        <v>120.9</v>
      </c>
      <c r="O5" t="s">
        <v>552</v>
      </c>
      <c r="P5" s="2" t="s">
        <v>553</v>
      </c>
      <c r="Q5" s="2" t="s">
        <v>554</v>
      </c>
      <c r="R5" s="2" t="s">
        <v>555</v>
      </c>
    </row>
    <row r="6" spans="1:18" ht="30" hidden="1" x14ac:dyDescent="0.25">
      <c r="A6" t="s">
        <v>23</v>
      </c>
      <c r="B6" t="s">
        <v>15</v>
      </c>
      <c r="C6" t="s">
        <v>24</v>
      </c>
      <c r="D6">
        <v>1</v>
      </c>
      <c r="E6">
        <v>4.4779999999999998</v>
      </c>
      <c r="F6">
        <v>4.7619999999999996</v>
      </c>
      <c r="G6">
        <v>-0.28399999999999997</v>
      </c>
      <c r="H6">
        <v>100</v>
      </c>
      <c r="I6">
        <v>0.16500000000000001</v>
      </c>
      <c r="J6">
        <v>4.9669999999999996</v>
      </c>
      <c r="K6">
        <v>1.0999999999999999E-2</v>
      </c>
      <c r="L6">
        <v>6.64</v>
      </c>
      <c r="M6">
        <v>18.04</v>
      </c>
      <c r="N6">
        <v>120.9</v>
      </c>
      <c r="O6" t="s">
        <v>552</v>
      </c>
      <c r="P6" s="2" t="s">
        <v>553</v>
      </c>
      <c r="Q6" s="2" t="s">
        <v>554</v>
      </c>
      <c r="R6" s="2" t="s">
        <v>555</v>
      </c>
    </row>
    <row r="7" spans="1:18" ht="45" hidden="1" x14ac:dyDescent="0.25">
      <c r="A7" t="s">
        <v>25</v>
      </c>
      <c r="B7" t="s">
        <v>26</v>
      </c>
      <c r="C7" t="s">
        <v>27</v>
      </c>
      <c r="D7">
        <v>1</v>
      </c>
      <c r="E7">
        <v>4.5039999999999996</v>
      </c>
      <c r="F7">
        <v>4.2649999999999997</v>
      </c>
      <c r="G7">
        <v>0.23899999999999999</v>
      </c>
      <c r="H7">
        <f t="shared" si="0"/>
        <v>94.693605683836594</v>
      </c>
      <c r="I7">
        <v>5.2999999999999999E-2</v>
      </c>
      <c r="J7">
        <v>4.3179999999999996</v>
      </c>
      <c r="K7">
        <v>2.5000000000000001E-2</v>
      </c>
      <c r="L7">
        <v>3.6</v>
      </c>
      <c r="M7">
        <v>21.2</v>
      </c>
      <c r="N7">
        <v>140</v>
      </c>
      <c r="O7" t="s">
        <v>556</v>
      </c>
      <c r="P7" s="2" t="s">
        <v>557</v>
      </c>
      <c r="Q7" s="2" t="s">
        <v>554</v>
      </c>
      <c r="R7" s="2" t="s">
        <v>558</v>
      </c>
    </row>
    <row r="8" spans="1:18" ht="45" hidden="1" x14ac:dyDescent="0.25">
      <c r="A8" t="s">
        <v>28</v>
      </c>
      <c r="B8" t="s">
        <v>26</v>
      </c>
      <c r="C8" t="s">
        <v>29</v>
      </c>
      <c r="D8">
        <v>1</v>
      </c>
      <c r="E8">
        <v>3.2429999999999999</v>
      </c>
      <c r="F8">
        <v>0.93799999999999994</v>
      </c>
      <c r="G8">
        <v>2.3050000000000002</v>
      </c>
      <c r="H8">
        <f t="shared" si="0"/>
        <v>28.923835954363241</v>
      </c>
      <c r="I8">
        <v>0</v>
      </c>
      <c r="J8">
        <v>0.93899999999999995</v>
      </c>
      <c r="K8">
        <v>4.0000000000000001E-3</v>
      </c>
      <c r="L8">
        <v>5.7</v>
      </c>
      <c r="M8">
        <v>19.399999999999999</v>
      </c>
      <c r="N8">
        <v>140</v>
      </c>
      <c r="O8" t="s">
        <v>556</v>
      </c>
      <c r="P8" s="2" t="s">
        <v>557</v>
      </c>
      <c r="Q8" s="2" t="s">
        <v>554</v>
      </c>
      <c r="R8" s="2" t="s">
        <v>558</v>
      </c>
    </row>
    <row r="9" spans="1:18" ht="45" hidden="1" x14ac:dyDescent="0.25">
      <c r="A9" t="s">
        <v>30</v>
      </c>
      <c r="B9" t="s">
        <v>26</v>
      </c>
      <c r="C9" t="s">
        <v>31</v>
      </c>
      <c r="D9">
        <v>1</v>
      </c>
      <c r="E9">
        <v>4.5640000000000001</v>
      </c>
      <c r="F9">
        <v>0.36399999999999999</v>
      </c>
      <c r="G9">
        <v>4.2</v>
      </c>
      <c r="H9">
        <f t="shared" si="0"/>
        <v>7.9754601226993866</v>
      </c>
      <c r="I9">
        <v>0.03</v>
      </c>
      <c r="J9">
        <v>0.39400000000000002</v>
      </c>
      <c r="K9">
        <v>6.0000000000000001E-3</v>
      </c>
      <c r="L9">
        <v>5.7</v>
      </c>
      <c r="M9">
        <v>21.7</v>
      </c>
      <c r="N9">
        <v>140</v>
      </c>
      <c r="O9" t="s">
        <v>556</v>
      </c>
      <c r="P9" s="2" t="s">
        <v>557</v>
      </c>
      <c r="Q9" s="2" t="s">
        <v>554</v>
      </c>
      <c r="R9" s="2" t="s">
        <v>558</v>
      </c>
    </row>
    <row r="10" spans="1:18" ht="45" hidden="1" x14ac:dyDescent="0.25">
      <c r="A10" t="s">
        <v>32</v>
      </c>
      <c r="B10" t="s">
        <v>26</v>
      </c>
      <c r="C10" t="s">
        <v>33</v>
      </c>
      <c r="D10">
        <v>1</v>
      </c>
      <c r="E10">
        <v>13.848000000000001</v>
      </c>
      <c r="F10">
        <v>8.5020000000000007</v>
      </c>
      <c r="G10">
        <v>5.3460000000000001</v>
      </c>
      <c r="H10">
        <f t="shared" si="0"/>
        <v>61.39514731369151</v>
      </c>
      <c r="I10">
        <v>3.7999999999999999E-2</v>
      </c>
      <c r="J10">
        <v>8.5389999999999997</v>
      </c>
      <c r="K10">
        <v>1.4E-2</v>
      </c>
      <c r="L10">
        <v>5.5</v>
      </c>
      <c r="M10">
        <v>18.7</v>
      </c>
      <c r="N10">
        <v>140</v>
      </c>
      <c r="O10" t="s">
        <v>556</v>
      </c>
      <c r="P10" s="2" t="s">
        <v>557</v>
      </c>
      <c r="Q10" s="2" t="s">
        <v>554</v>
      </c>
      <c r="R10" s="2" t="s">
        <v>558</v>
      </c>
    </row>
    <row r="11" spans="1:18" ht="45" hidden="1" x14ac:dyDescent="0.25">
      <c r="A11" t="s">
        <v>34</v>
      </c>
      <c r="B11" t="s">
        <v>26</v>
      </c>
      <c r="C11" t="s">
        <v>35</v>
      </c>
      <c r="D11">
        <v>1</v>
      </c>
      <c r="E11">
        <v>0.80400000000000005</v>
      </c>
      <c r="F11">
        <v>0.27200000000000002</v>
      </c>
      <c r="G11">
        <v>0.53200000000000003</v>
      </c>
      <c r="H11">
        <f t="shared" si="0"/>
        <v>33.830845771144283</v>
      </c>
      <c r="I11">
        <v>3.0000000000000001E-3</v>
      </c>
      <c r="J11">
        <v>0.27400000000000002</v>
      </c>
      <c r="K11">
        <v>1.2999999999999999E-2</v>
      </c>
      <c r="L11">
        <v>6.2</v>
      </c>
      <c r="M11">
        <v>19</v>
      </c>
      <c r="N11">
        <v>140</v>
      </c>
      <c r="O11" t="s">
        <v>556</v>
      </c>
      <c r="P11" s="2" t="s">
        <v>557</v>
      </c>
      <c r="Q11" s="2" t="s">
        <v>554</v>
      </c>
      <c r="R11" s="2" t="s">
        <v>558</v>
      </c>
    </row>
    <row r="12" spans="1:18" ht="45" hidden="1" x14ac:dyDescent="0.25">
      <c r="A12" t="s">
        <v>36</v>
      </c>
      <c r="B12" t="s">
        <v>26</v>
      </c>
      <c r="C12" t="s">
        <v>37</v>
      </c>
      <c r="D12">
        <v>1</v>
      </c>
      <c r="E12">
        <v>5.4050000000000002</v>
      </c>
      <c r="F12">
        <v>3.7730000000000001</v>
      </c>
      <c r="G12">
        <v>1.6319999999999999</v>
      </c>
      <c r="H12">
        <f t="shared" si="0"/>
        <v>69.805735430157256</v>
      </c>
      <c r="I12">
        <v>0.13100000000000001</v>
      </c>
      <c r="J12">
        <v>3.9049999999999998</v>
      </c>
      <c r="K12">
        <v>2.42</v>
      </c>
      <c r="L12">
        <v>7.1</v>
      </c>
      <c r="M12">
        <v>22.2</v>
      </c>
      <c r="N12">
        <v>140</v>
      </c>
      <c r="O12" t="s">
        <v>556</v>
      </c>
      <c r="P12" s="2" t="s">
        <v>557</v>
      </c>
      <c r="Q12" s="2" t="s">
        <v>554</v>
      </c>
      <c r="R12" s="2" t="s">
        <v>558</v>
      </c>
    </row>
    <row r="13" spans="1:18" ht="45" hidden="1" x14ac:dyDescent="0.25">
      <c r="A13" t="s">
        <v>38</v>
      </c>
      <c r="B13" t="s">
        <v>26</v>
      </c>
      <c r="C13" t="s">
        <v>39</v>
      </c>
      <c r="D13">
        <v>1</v>
      </c>
      <c r="E13">
        <v>10.332000000000001</v>
      </c>
      <c r="F13">
        <v>3.5219999999999998</v>
      </c>
      <c r="G13">
        <v>6.81</v>
      </c>
      <c r="H13">
        <f t="shared" si="0"/>
        <v>34.088269454123107</v>
      </c>
      <c r="I13">
        <v>0.12</v>
      </c>
      <c r="J13">
        <v>3.6419999999999999</v>
      </c>
      <c r="K13">
        <v>3.96</v>
      </c>
      <c r="L13">
        <v>5.9</v>
      </c>
      <c r="M13">
        <v>23.9</v>
      </c>
      <c r="N13">
        <v>140</v>
      </c>
      <c r="O13" t="s">
        <v>556</v>
      </c>
      <c r="P13" s="2" t="s">
        <v>557</v>
      </c>
      <c r="Q13" s="2" t="s">
        <v>554</v>
      </c>
      <c r="R13" s="2" t="s">
        <v>558</v>
      </c>
    </row>
    <row r="14" spans="1:18" ht="30" hidden="1" x14ac:dyDescent="0.25">
      <c r="A14" t="s">
        <v>40</v>
      </c>
      <c r="B14" t="s">
        <v>41</v>
      </c>
      <c r="C14" t="s">
        <v>42</v>
      </c>
      <c r="D14">
        <v>1</v>
      </c>
      <c r="E14">
        <v>6.7</v>
      </c>
      <c r="F14">
        <v>3.61</v>
      </c>
      <c r="G14">
        <v>1.6</v>
      </c>
      <c r="H14">
        <f t="shared" si="0"/>
        <v>53.880597014925371</v>
      </c>
      <c r="I14">
        <v>0.09</v>
      </c>
      <c r="J14">
        <v>3.71</v>
      </c>
      <c r="K14">
        <v>5.8000000000000003E-2</v>
      </c>
      <c r="L14">
        <v>6.5</v>
      </c>
      <c r="M14">
        <v>13.7</v>
      </c>
      <c r="N14">
        <v>92.5</v>
      </c>
      <c r="O14" t="s">
        <v>559</v>
      </c>
      <c r="P14" s="2" t="s">
        <v>560</v>
      </c>
      <c r="Q14" s="2" t="s">
        <v>561</v>
      </c>
      <c r="R14" s="2" t="s">
        <v>562</v>
      </c>
    </row>
    <row r="15" spans="1:18" ht="30" hidden="1" x14ac:dyDescent="0.25">
      <c r="A15" t="s">
        <v>43</v>
      </c>
      <c r="B15" t="s">
        <v>41</v>
      </c>
      <c r="C15" t="s">
        <v>44</v>
      </c>
      <c r="D15">
        <v>1</v>
      </c>
      <c r="E15">
        <v>2.57</v>
      </c>
      <c r="F15">
        <v>1.28</v>
      </c>
      <c r="G15">
        <v>0.11</v>
      </c>
      <c r="H15">
        <f t="shared" si="0"/>
        <v>49.805447470817128</v>
      </c>
      <c r="I15">
        <v>0.16</v>
      </c>
      <c r="J15">
        <v>1.43</v>
      </c>
      <c r="K15">
        <v>4.0000000000000001E-3</v>
      </c>
      <c r="L15">
        <v>6.5</v>
      </c>
      <c r="M15">
        <v>16.100000000000001</v>
      </c>
      <c r="N15">
        <v>65.8</v>
      </c>
      <c r="O15" t="s">
        <v>559</v>
      </c>
      <c r="P15" s="2" t="s">
        <v>560</v>
      </c>
      <c r="Q15" s="2" t="s">
        <v>561</v>
      </c>
      <c r="R15" s="2" t="s">
        <v>562</v>
      </c>
    </row>
    <row r="16" spans="1:18" ht="60" hidden="1" x14ac:dyDescent="0.25">
      <c r="A16" t="s">
        <v>45</v>
      </c>
      <c r="B16" t="s">
        <v>46</v>
      </c>
      <c r="C16" t="s">
        <v>47</v>
      </c>
      <c r="D16">
        <v>1</v>
      </c>
      <c r="E16">
        <v>5.2869999999999999</v>
      </c>
      <c r="F16">
        <v>1</v>
      </c>
      <c r="G16">
        <v>4.2869999999999999</v>
      </c>
      <c r="H16">
        <f t="shared" si="0"/>
        <v>18.914318138831096</v>
      </c>
      <c r="I16">
        <v>1.3260000000000001</v>
      </c>
      <c r="J16">
        <v>2.3260000000000001</v>
      </c>
      <c r="K16">
        <v>0.374</v>
      </c>
      <c r="L16">
        <v>7.73</v>
      </c>
      <c r="M16">
        <v>10.5</v>
      </c>
      <c r="N16">
        <v>81.28</v>
      </c>
      <c r="O16" t="s">
        <v>552</v>
      </c>
      <c r="P16" s="2" t="s">
        <v>553</v>
      </c>
      <c r="Q16" s="2" t="s">
        <v>561</v>
      </c>
      <c r="R16" s="2" t="s">
        <v>563</v>
      </c>
    </row>
    <row r="17" spans="1:18" ht="60" hidden="1" x14ac:dyDescent="0.25">
      <c r="A17" t="s">
        <v>48</v>
      </c>
      <c r="B17" t="s">
        <v>49</v>
      </c>
      <c r="C17" t="s">
        <v>50</v>
      </c>
      <c r="D17">
        <v>1</v>
      </c>
      <c r="E17">
        <v>0.67400000000000004</v>
      </c>
      <c r="F17">
        <v>0.46500000000000002</v>
      </c>
      <c r="G17">
        <v>0.20799999999999999</v>
      </c>
      <c r="H17">
        <f t="shared" si="0"/>
        <v>68.991097922848667</v>
      </c>
      <c r="I17">
        <v>0.17499999999999999</v>
      </c>
      <c r="J17">
        <v>0.88800000000000001</v>
      </c>
      <c r="K17">
        <v>0.90400000000000003</v>
      </c>
      <c r="L17">
        <v>7.17</v>
      </c>
      <c r="M17">
        <v>9.9600000000000009</v>
      </c>
      <c r="N17">
        <v>119.38</v>
      </c>
      <c r="O17" t="s">
        <v>552</v>
      </c>
      <c r="P17" s="2" t="s">
        <v>553</v>
      </c>
      <c r="Q17" s="2" t="s">
        <v>564</v>
      </c>
      <c r="R17" s="2" t="s">
        <v>565</v>
      </c>
    </row>
    <row r="18" spans="1:18" ht="60" hidden="1" x14ac:dyDescent="0.25">
      <c r="A18" t="s">
        <v>51</v>
      </c>
      <c r="B18" t="s">
        <v>49</v>
      </c>
      <c r="C18" t="s">
        <v>52</v>
      </c>
      <c r="D18">
        <v>1</v>
      </c>
      <c r="E18">
        <v>0.56799999999999995</v>
      </c>
      <c r="F18">
        <v>0.33100000000000002</v>
      </c>
      <c r="G18">
        <v>0.23699999999999999</v>
      </c>
      <c r="H18">
        <f t="shared" si="0"/>
        <v>58.274647887323951</v>
      </c>
      <c r="I18">
        <v>0.39100000000000001</v>
      </c>
      <c r="J18">
        <v>0.64100000000000001</v>
      </c>
      <c r="K18">
        <v>0.70699999999999996</v>
      </c>
      <c r="L18">
        <v>7.27</v>
      </c>
      <c r="M18">
        <v>10.81</v>
      </c>
      <c r="N18">
        <v>119.38</v>
      </c>
      <c r="O18" t="s">
        <v>552</v>
      </c>
      <c r="P18" s="2" t="s">
        <v>553</v>
      </c>
      <c r="Q18" s="2" t="s">
        <v>564</v>
      </c>
      <c r="R18" s="2" t="s">
        <v>565</v>
      </c>
    </row>
    <row r="19" spans="1:18" ht="60" hidden="1" x14ac:dyDescent="0.25">
      <c r="A19" t="s">
        <v>53</v>
      </c>
      <c r="B19" t="s">
        <v>49</v>
      </c>
      <c r="C19" t="s">
        <v>54</v>
      </c>
      <c r="D19">
        <v>6</v>
      </c>
      <c r="E19">
        <v>0.79100000000000004</v>
      </c>
      <c r="F19">
        <v>0.50700000000000001</v>
      </c>
      <c r="G19">
        <v>0.28499999999999998</v>
      </c>
      <c r="H19">
        <f t="shared" si="0"/>
        <v>64.096080910240204</v>
      </c>
      <c r="I19">
        <v>0.27600000000000002</v>
      </c>
      <c r="J19">
        <v>0.875</v>
      </c>
      <c r="K19">
        <v>0.7</v>
      </c>
      <c r="L19">
        <v>7.22</v>
      </c>
      <c r="M19">
        <v>10.24</v>
      </c>
      <c r="N19">
        <v>119.38</v>
      </c>
      <c r="O19" t="s">
        <v>552</v>
      </c>
      <c r="P19" s="2" t="s">
        <v>553</v>
      </c>
      <c r="Q19" s="2" t="s">
        <v>564</v>
      </c>
      <c r="R19" s="2" t="s">
        <v>565</v>
      </c>
    </row>
    <row r="20" spans="1:18" ht="60" hidden="1" x14ac:dyDescent="0.25">
      <c r="A20" t="s">
        <v>55</v>
      </c>
      <c r="B20" t="s">
        <v>49</v>
      </c>
      <c r="C20" t="s">
        <v>56</v>
      </c>
      <c r="D20">
        <v>1</v>
      </c>
      <c r="E20">
        <v>0.55700000000000005</v>
      </c>
      <c r="F20">
        <v>0.48199999999999998</v>
      </c>
      <c r="G20">
        <v>7.4999999999999997E-2</v>
      </c>
      <c r="H20">
        <f t="shared" si="0"/>
        <v>86.535008976660677</v>
      </c>
      <c r="I20">
        <v>0.16600000000000001</v>
      </c>
      <c r="J20">
        <v>0.88500000000000001</v>
      </c>
      <c r="K20">
        <v>1.018</v>
      </c>
      <c r="L20">
        <v>7.19</v>
      </c>
      <c r="M20">
        <v>9.44</v>
      </c>
      <c r="N20">
        <v>119.38</v>
      </c>
      <c r="O20" t="s">
        <v>552</v>
      </c>
      <c r="P20" s="2" t="s">
        <v>553</v>
      </c>
      <c r="Q20" s="2" t="s">
        <v>564</v>
      </c>
      <c r="R20" s="2" t="s">
        <v>565</v>
      </c>
    </row>
    <row r="21" spans="1:18" ht="60" hidden="1" x14ac:dyDescent="0.25">
      <c r="A21" t="s">
        <v>57</v>
      </c>
      <c r="B21" t="s">
        <v>49</v>
      </c>
      <c r="C21" t="s">
        <v>58</v>
      </c>
      <c r="D21">
        <v>1</v>
      </c>
      <c r="E21">
        <v>0.72699999999999998</v>
      </c>
      <c r="F21">
        <v>0.63100000000000001</v>
      </c>
      <c r="G21">
        <v>9.5000000000000001E-2</v>
      </c>
      <c r="H21">
        <f t="shared" si="0"/>
        <v>86.795048143053648</v>
      </c>
      <c r="I21">
        <v>0.40500000000000003</v>
      </c>
      <c r="J21">
        <v>1.2909999999999999</v>
      </c>
      <c r="K21">
        <v>0.80700000000000005</v>
      </c>
      <c r="L21">
        <v>7.43</v>
      </c>
      <c r="M21">
        <v>10.91</v>
      </c>
      <c r="N21">
        <v>119.38</v>
      </c>
      <c r="O21" t="s">
        <v>552</v>
      </c>
      <c r="P21" s="2" t="s">
        <v>553</v>
      </c>
      <c r="Q21" s="2" t="s">
        <v>564</v>
      </c>
      <c r="R21" s="2" t="s">
        <v>565</v>
      </c>
    </row>
    <row r="22" spans="1:18" ht="60" hidden="1" x14ac:dyDescent="0.25">
      <c r="A22" t="s">
        <v>59</v>
      </c>
      <c r="B22" t="s">
        <v>49</v>
      </c>
      <c r="C22" t="s">
        <v>60</v>
      </c>
      <c r="D22">
        <v>1</v>
      </c>
      <c r="E22">
        <v>0.68200000000000005</v>
      </c>
      <c r="F22">
        <v>0.44400000000000001</v>
      </c>
      <c r="G22">
        <v>0.23899999999999999</v>
      </c>
      <c r="H22">
        <f t="shared" si="0"/>
        <v>65.102639296187675</v>
      </c>
      <c r="I22">
        <v>0.29599999999999999</v>
      </c>
      <c r="J22">
        <v>0.83599999999999997</v>
      </c>
      <c r="K22">
        <v>0.92500000000000004</v>
      </c>
      <c r="L22">
        <v>7.22</v>
      </c>
      <c r="M22">
        <v>10.26</v>
      </c>
      <c r="N22">
        <v>119.38</v>
      </c>
      <c r="O22" t="s">
        <v>552</v>
      </c>
      <c r="P22" s="2" t="s">
        <v>553</v>
      </c>
      <c r="Q22" s="2" t="s">
        <v>564</v>
      </c>
      <c r="R22" s="2" t="s">
        <v>565</v>
      </c>
    </row>
    <row r="23" spans="1:18" ht="60" hidden="1" x14ac:dyDescent="0.25">
      <c r="A23" t="s">
        <v>61</v>
      </c>
      <c r="B23" t="s">
        <v>49</v>
      </c>
      <c r="C23" t="s">
        <v>62</v>
      </c>
      <c r="D23">
        <v>1</v>
      </c>
      <c r="E23">
        <v>0.623</v>
      </c>
      <c r="F23">
        <v>0.434</v>
      </c>
      <c r="G23">
        <v>0.189</v>
      </c>
      <c r="H23">
        <f t="shared" si="0"/>
        <v>69.662921348314612</v>
      </c>
      <c r="I23">
        <v>0.252</v>
      </c>
      <c r="J23">
        <v>0.76100000000000001</v>
      </c>
      <c r="K23">
        <v>0.92600000000000005</v>
      </c>
      <c r="L23">
        <v>7.13</v>
      </c>
      <c r="M23">
        <v>10.27</v>
      </c>
      <c r="N23">
        <v>119.38</v>
      </c>
      <c r="O23" t="s">
        <v>552</v>
      </c>
      <c r="P23" s="2" t="s">
        <v>553</v>
      </c>
      <c r="Q23" s="2" t="s">
        <v>564</v>
      </c>
      <c r="R23" s="2" t="s">
        <v>565</v>
      </c>
    </row>
    <row r="24" spans="1:18" ht="60" hidden="1" x14ac:dyDescent="0.25">
      <c r="A24" t="s">
        <v>63</v>
      </c>
      <c r="B24" t="s">
        <v>64</v>
      </c>
      <c r="C24" t="s">
        <v>65</v>
      </c>
      <c r="D24">
        <v>1</v>
      </c>
      <c r="E24">
        <v>6.12</v>
      </c>
      <c r="F24">
        <v>7.7709999999999999</v>
      </c>
      <c r="G24">
        <v>-1.651</v>
      </c>
      <c r="H24">
        <v>100</v>
      </c>
      <c r="I24">
        <v>2.5099999999999998</v>
      </c>
      <c r="J24">
        <v>10.292999999999999</v>
      </c>
      <c r="K24">
        <v>2.8299999999999999E-2</v>
      </c>
      <c r="L24">
        <v>7.21</v>
      </c>
      <c r="M24">
        <v>10.98</v>
      </c>
      <c r="N24">
        <v>81.28</v>
      </c>
      <c r="O24" t="s">
        <v>552</v>
      </c>
      <c r="P24" s="2" t="s">
        <v>553</v>
      </c>
      <c r="Q24" s="2" t="s">
        <v>561</v>
      </c>
      <c r="R24" s="2" t="s">
        <v>566</v>
      </c>
    </row>
    <row r="25" spans="1:18" ht="60" hidden="1" x14ac:dyDescent="0.25">
      <c r="A25" t="s">
        <v>66</v>
      </c>
      <c r="B25" t="s">
        <v>67</v>
      </c>
      <c r="C25" t="s">
        <v>68</v>
      </c>
      <c r="D25">
        <v>1</v>
      </c>
      <c r="E25">
        <v>6.4859999999999998</v>
      </c>
      <c r="F25">
        <v>2.4</v>
      </c>
      <c r="G25">
        <v>4.0860000000000003</v>
      </c>
      <c r="H25">
        <f t="shared" si="0"/>
        <v>37.002775208140612</v>
      </c>
      <c r="I25">
        <v>1.1499999999999999</v>
      </c>
      <c r="J25">
        <v>7.5</v>
      </c>
      <c r="K25">
        <v>8.8999999999999999E-3</v>
      </c>
      <c r="L25">
        <v>7.1</v>
      </c>
      <c r="M25">
        <v>7.5</v>
      </c>
      <c r="N25">
        <v>104</v>
      </c>
      <c r="O25" t="s">
        <v>552</v>
      </c>
      <c r="P25" s="2" t="s">
        <v>567</v>
      </c>
      <c r="Q25" s="2" t="s">
        <v>568</v>
      </c>
      <c r="R25" s="2" t="s">
        <v>569</v>
      </c>
    </row>
    <row r="26" spans="1:18" ht="60" hidden="1" x14ac:dyDescent="0.25">
      <c r="A26" t="s">
        <v>69</v>
      </c>
      <c r="B26" t="s">
        <v>67</v>
      </c>
      <c r="C26" t="s">
        <v>70</v>
      </c>
      <c r="D26">
        <v>1</v>
      </c>
      <c r="E26">
        <v>12.941000000000001</v>
      </c>
      <c r="F26">
        <v>4.4000000000000004</v>
      </c>
      <c r="G26">
        <v>8.5410000000000004</v>
      </c>
      <c r="H26">
        <f t="shared" si="0"/>
        <v>34.000463642686036</v>
      </c>
      <c r="K26">
        <v>1.0999999999999999E-2</v>
      </c>
      <c r="L26">
        <v>7.1</v>
      </c>
      <c r="M26">
        <v>10</v>
      </c>
      <c r="N26">
        <v>104</v>
      </c>
      <c r="O26" t="s">
        <v>552</v>
      </c>
      <c r="P26" s="2" t="s">
        <v>567</v>
      </c>
      <c r="Q26" s="2" t="s">
        <v>568</v>
      </c>
      <c r="R26" s="2" t="s">
        <v>569</v>
      </c>
    </row>
    <row r="27" spans="1:18" ht="60" hidden="1" x14ac:dyDescent="0.25">
      <c r="A27" t="s">
        <v>71</v>
      </c>
      <c r="B27" t="s">
        <v>72</v>
      </c>
      <c r="C27" t="s">
        <v>73</v>
      </c>
      <c r="D27">
        <v>10</v>
      </c>
      <c r="E27">
        <v>8.5</v>
      </c>
      <c r="F27">
        <v>0.71</v>
      </c>
      <c r="G27">
        <v>6.7</v>
      </c>
      <c r="H27">
        <f t="shared" si="0"/>
        <v>8.3529411764705888</v>
      </c>
      <c r="I27">
        <v>0.75</v>
      </c>
      <c r="J27">
        <v>1.575</v>
      </c>
      <c r="K27">
        <v>24</v>
      </c>
      <c r="L27">
        <v>7.94</v>
      </c>
      <c r="M27">
        <v>27</v>
      </c>
      <c r="N27">
        <v>121.2</v>
      </c>
      <c r="O27" t="s">
        <v>570</v>
      </c>
      <c r="P27" s="2" t="s">
        <v>557</v>
      </c>
      <c r="Q27" s="2" t="s">
        <v>561</v>
      </c>
      <c r="R27" s="2" t="s">
        <v>571</v>
      </c>
    </row>
    <row r="28" spans="1:18" ht="60" hidden="1" x14ac:dyDescent="0.25">
      <c r="A28" t="s">
        <v>74</v>
      </c>
      <c r="B28" t="s">
        <v>72</v>
      </c>
      <c r="C28" t="s">
        <v>75</v>
      </c>
      <c r="D28">
        <v>9</v>
      </c>
      <c r="E28">
        <v>2.2999999999999998</v>
      </c>
      <c r="F28">
        <v>0.71</v>
      </c>
      <c r="G28">
        <v>1.7</v>
      </c>
      <c r="H28">
        <f t="shared" si="0"/>
        <v>30.869565217391305</v>
      </c>
      <c r="I28">
        <v>0.75</v>
      </c>
      <c r="J28">
        <v>1.575</v>
      </c>
      <c r="K28">
        <v>0.105</v>
      </c>
      <c r="L28">
        <v>6.85</v>
      </c>
      <c r="M28">
        <v>27</v>
      </c>
      <c r="N28">
        <v>187.9</v>
      </c>
      <c r="O28" t="s">
        <v>570</v>
      </c>
      <c r="P28" s="2" t="s">
        <v>557</v>
      </c>
      <c r="Q28" s="2" t="s">
        <v>561</v>
      </c>
      <c r="R28" s="2" t="s">
        <v>571</v>
      </c>
    </row>
    <row r="29" spans="1:18" ht="45" hidden="1" x14ac:dyDescent="0.25">
      <c r="A29" t="s">
        <v>76</v>
      </c>
      <c r="B29" t="s">
        <v>77</v>
      </c>
      <c r="C29" t="s">
        <v>78</v>
      </c>
      <c r="D29">
        <v>3</v>
      </c>
      <c r="E29">
        <v>3.3839999999999999</v>
      </c>
      <c r="F29">
        <v>0.17</v>
      </c>
      <c r="G29">
        <v>3.214</v>
      </c>
      <c r="H29">
        <f t="shared" si="0"/>
        <v>5.0236406619385345</v>
      </c>
      <c r="I29">
        <v>1.27</v>
      </c>
      <c r="J29">
        <v>1.37</v>
      </c>
      <c r="K29">
        <v>1.19</v>
      </c>
      <c r="L29">
        <v>7.95</v>
      </c>
      <c r="M29">
        <v>16.5</v>
      </c>
      <c r="N29">
        <v>118.1</v>
      </c>
      <c r="O29" t="s">
        <v>556</v>
      </c>
      <c r="P29" s="2" t="s">
        <v>572</v>
      </c>
      <c r="Q29" s="2" t="s">
        <v>554</v>
      </c>
      <c r="R29" s="2" t="s">
        <v>573</v>
      </c>
    </row>
    <row r="30" spans="1:18" ht="45" hidden="1" x14ac:dyDescent="0.25">
      <c r="A30" t="s">
        <v>79</v>
      </c>
      <c r="B30" t="s">
        <v>77</v>
      </c>
      <c r="C30" t="s">
        <v>80</v>
      </c>
      <c r="D30">
        <v>3</v>
      </c>
      <c r="E30">
        <v>4.7039999999999997</v>
      </c>
      <c r="F30">
        <v>0.68</v>
      </c>
      <c r="G30">
        <v>4.024</v>
      </c>
      <c r="H30">
        <f t="shared" si="0"/>
        <v>14.455782312925173</v>
      </c>
      <c r="I30">
        <v>1.72</v>
      </c>
      <c r="J30">
        <v>2.4</v>
      </c>
      <c r="K30">
        <v>0.58699999999999997</v>
      </c>
      <c r="L30">
        <v>7.9</v>
      </c>
      <c r="M30">
        <v>17</v>
      </c>
      <c r="N30">
        <v>135</v>
      </c>
      <c r="O30" t="s">
        <v>556</v>
      </c>
      <c r="P30" s="2" t="s">
        <v>572</v>
      </c>
      <c r="Q30" s="2" t="s">
        <v>554</v>
      </c>
      <c r="R30" s="2" t="s">
        <v>573</v>
      </c>
    </row>
    <row r="31" spans="1:18" ht="45" hidden="1" x14ac:dyDescent="0.25">
      <c r="A31" t="s">
        <v>81</v>
      </c>
      <c r="B31" t="s">
        <v>82</v>
      </c>
      <c r="C31" t="s">
        <v>83</v>
      </c>
      <c r="D31">
        <v>1</v>
      </c>
      <c r="E31">
        <v>3.4</v>
      </c>
      <c r="F31">
        <v>1.4</v>
      </c>
      <c r="G31">
        <v>2</v>
      </c>
      <c r="H31">
        <f t="shared" si="0"/>
        <v>41.17647058823529</v>
      </c>
      <c r="I31">
        <v>4.125</v>
      </c>
      <c r="J31">
        <v>4.5</v>
      </c>
      <c r="K31">
        <v>33.545000000000002</v>
      </c>
      <c r="L31">
        <v>8</v>
      </c>
      <c r="M31">
        <v>18.2</v>
      </c>
      <c r="N31">
        <v>34.29</v>
      </c>
      <c r="O31" t="s">
        <v>552</v>
      </c>
      <c r="P31" s="2" t="s">
        <v>574</v>
      </c>
      <c r="Q31" s="2" t="s">
        <v>561</v>
      </c>
      <c r="R31" s="2" t="s">
        <v>575</v>
      </c>
    </row>
    <row r="32" spans="1:18" ht="60" hidden="1" x14ac:dyDescent="0.25">
      <c r="A32" t="s">
        <v>84</v>
      </c>
      <c r="B32" t="s">
        <v>85</v>
      </c>
      <c r="C32" t="s">
        <v>86</v>
      </c>
      <c r="D32">
        <v>4</v>
      </c>
      <c r="E32">
        <v>1.101</v>
      </c>
      <c r="F32">
        <f>E32*H32/100</f>
        <v>0.60665100000000005</v>
      </c>
      <c r="G32">
        <f>E32-F32</f>
        <v>0.49434899999999993</v>
      </c>
      <c r="H32">
        <v>55.1</v>
      </c>
      <c r="K32">
        <v>32.933</v>
      </c>
      <c r="L32">
        <v>7.38</v>
      </c>
      <c r="M32">
        <v>23.841999999999999</v>
      </c>
      <c r="N32">
        <v>119.5</v>
      </c>
      <c r="O32" t="s">
        <v>556</v>
      </c>
      <c r="P32" s="2" t="s">
        <v>576</v>
      </c>
      <c r="Q32" s="2" t="s">
        <v>564</v>
      </c>
      <c r="R32" s="2" t="s">
        <v>577</v>
      </c>
    </row>
    <row r="33" spans="1:18" ht="45" hidden="1" x14ac:dyDescent="0.25">
      <c r="A33" t="s">
        <v>87</v>
      </c>
      <c r="B33" t="s">
        <v>85</v>
      </c>
      <c r="C33" t="s">
        <v>88</v>
      </c>
      <c r="D33">
        <v>4</v>
      </c>
      <c r="E33">
        <v>3.1669999999999998</v>
      </c>
      <c r="F33">
        <v>0</v>
      </c>
      <c r="G33">
        <v>3.1669999999999998</v>
      </c>
      <c r="H33">
        <v>0</v>
      </c>
      <c r="K33">
        <v>0.9</v>
      </c>
      <c r="L33">
        <v>6.3</v>
      </c>
      <c r="M33">
        <v>22.117000000000001</v>
      </c>
      <c r="N33">
        <v>119.5</v>
      </c>
      <c r="O33" t="s">
        <v>556</v>
      </c>
      <c r="P33" s="2" t="s">
        <v>576</v>
      </c>
      <c r="Q33" s="2" t="s">
        <v>568</v>
      </c>
      <c r="R33" s="2" t="s">
        <v>578</v>
      </c>
    </row>
    <row r="34" spans="1:18" ht="60" hidden="1" x14ac:dyDescent="0.25">
      <c r="A34" t="s">
        <v>89</v>
      </c>
      <c r="B34" t="s">
        <v>90</v>
      </c>
      <c r="C34" t="s">
        <v>91</v>
      </c>
      <c r="D34">
        <v>1</v>
      </c>
      <c r="E34">
        <v>6.8849999999999998</v>
      </c>
      <c r="F34">
        <v>2.4750000000000001</v>
      </c>
      <c r="G34">
        <v>4.41</v>
      </c>
      <c r="H34">
        <f t="shared" ref="H34:H95" si="1">(F34/E34)*100</f>
        <v>35.947712418300654</v>
      </c>
      <c r="I34">
        <v>0</v>
      </c>
      <c r="J34">
        <v>2.4750000000000001</v>
      </c>
      <c r="K34">
        <v>0.02</v>
      </c>
      <c r="L34">
        <v>4.33</v>
      </c>
      <c r="M34">
        <v>20.100000000000001</v>
      </c>
      <c r="N34">
        <v>124.8</v>
      </c>
      <c r="O34" t="s">
        <v>556</v>
      </c>
      <c r="P34" s="2" t="s">
        <v>576</v>
      </c>
      <c r="Q34" s="2" t="s">
        <v>568</v>
      </c>
      <c r="R34" s="2" t="s">
        <v>579</v>
      </c>
    </row>
    <row r="35" spans="1:18" ht="45" hidden="1" x14ac:dyDescent="0.25">
      <c r="A35" t="s">
        <v>92</v>
      </c>
      <c r="B35" t="s">
        <v>90</v>
      </c>
      <c r="C35" t="s">
        <v>93</v>
      </c>
      <c r="D35">
        <v>1</v>
      </c>
      <c r="E35">
        <v>4.7</v>
      </c>
      <c r="F35">
        <v>-0.3</v>
      </c>
      <c r="G35">
        <v>5</v>
      </c>
      <c r="H35">
        <v>0</v>
      </c>
      <c r="I35">
        <v>2.9249999999999998</v>
      </c>
      <c r="J35">
        <v>2.625</v>
      </c>
      <c r="K35">
        <v>9.6</v>
      </c>
      <c r="L35">
        <v>7.15</v>
      </c>
      <c r="M35">
        <v>21.8</v>
      </c>
      <c r="N35">
        <v>124.8</v>
      </c>
      <c r="O35" t="s">
        <v>556</v>
      </c>
      <c r="P35" s="2" t="s">
        <v>576</v>
      </c>
      <c r="Q35" s="2" t="s">
        <v>561</v>
      </c>
      <c r="R35" s="2" t="s">
        <v>580</v>
      </c>
    </row>
    <row r="36" spans="1:18" ht="60" hidden="1" x14ac:dyDescent="0.25">
      <c r="A36" t="s">
        <v>94</v>
      </c>
      <c r="B36" t="s">
        <v>90</v>
      </c>
      <c r="C36" t="s">
        <v>95</v>
      </c>
      <c r="D36">
        <v>1</v>
      </c>
      <c r="E36">
        <v>4.0039999999999996</v>
      </c>
      <c r="F36">
        <v>3.9</v>
      </c>
      <c r="G36">
        <v>0.104</v>
      </c>
      <c r="H36">
        <f t="shared" si="1"/>
        <v>97.402597402597408</v>
      </c>
      <c r="I36">
        <v>-7.4999999999999997E-2</v>
      </c>
      <c r="J36">
        <v>3.8250000000000002</v>
      </c>
      <c r="K36">
        <v>0.4</v>
      </c>
      <c r="L36">
        <v>5.91</v>
      </c>
      <c r="M36">
        <v>21.3</v>
      </c>
      <c r="N36">
        <v>124.8</v>
      </c>
      <c r="O36" t="s">
        <v>556</v>
      </c>
      <c r="P36" s="2" t="s">
        <v>576</v>
      </c>
      <c r="Q36" s="2" t="s">
        <v>568</v>
      </c>
      <c r="R36" s="2" t="s">
        <v>579</v>
      </c>
    </row>
    <row r="37" spans="1:18" ht="60" hidden="1" x14ac:dyDescent="0.25">
      <c r="A37" t="s">
        <v>96</v>
      </c>
      <c r="B37" t="s">
        <v>90</v>
      </c>
      <c r="C37" t="s">
        <v>97</v>
      </c>
      <c r="D37">
        <v>1</v>
      </c>
      <c r="E37">
        <v>7.2329999999999997</v>
      </c>
      <c r="F37">
        <v>4.0129999999999999</v>
      </c>
      <c r="G37">
        <v>3.22</v>
      </c>
      <c r="H37">
        <f t="shared" si="1"/>
        <v>55.481819438683807</v>
      </c>
      <c r="I37">
        <v>0.188</v>
      </c>
      <c r="J37">
        <v>4.2</v>
      </c>
      <c r="K37">
        <v>1.8</v>
      </c>
      <c r="L37">
        <v>6.14</v>
      </c>
      <c r="M37">
        <v>21</v>
      </c>
      <c r="N37">
        <v>124.8</v>
      </c>
      <c r="O37" t="s">
        <v>556</v>
      </c>
      <c r="P37" s="2" t="s">
        <v>576</v>
      </c>
      <c r="Q37" s="2" t="s">
        <v>568</v>
      </c>
      <c r="R37" s="2" t="s">
        <v>579</v>
      </c>
    </row>
    <row r="38" spans="1:18" ht="45" hidden="1" x14ac:dyDescent="0.25">
      <c r="A38" t="s">
        <v>98</v>
      </c>
      <c r="B38" t="s">
        <v>90</v>
      </c>
      <c r="C38" t="s">
        <v>99</v>
      </c>
      <c r="D38">
        <v>1</v>
      </c>
      <c r="E38">
        <v>8.0510000000000002</v>
      </c>
      <c r="F38">
        <v>-0.188</v>
      </c>
      <c r="G38">
        <v>8.2390000000000008</v>
      </c>
      <c r="H38">
        <v>0</v>
      </c>
      <c r="I38">
        <v>2.4380000000000002</v>
      </c>
      <c r="J38">
        <v>2.25</v>
      </c>
      <c r="K38">
        <v>38.299999999999997</v>
      </c>
      <c r="L38">
        <v>7.06</v>
      </c>
      <c r="M38">
        <v>22.1</v>
      </c>
      <c r="N38">
        <v>124.8</v>
      </c>
      <c r="O38" t="s">
        <v>556</v>
      </c>
      <c r="P38" s="2" t="s">
        <v>576</v>
      </c>
      <c r="Q38" s="2" t="s">
        <v>564</v>
      </c>
      <c r="R38" s="2" t="s">
        <v>581</v>
      </c>
    </row>
    <row r="39" spans="1:18" ht="45" hidden="1" x14ac:dyDescent="0.25">
      <c r="A39" t="s">
        <v>100</v>
      </c>
      <c r="B39" t="s">
        <v>90</v>
      </c>
      <c r="C39" t="s">
        <v>101</v>
      </c>
      <c r="D39">
        <v>1</v>
      </c>
      <c r="E39">
        <v>5.5220000000000002</v>
      </c>
      <c r="F39">
        <v>2.85</v>
      </c>
      <c r="G39">
        <v>0.7</v>
      </c>
      <c r="H39">
        <f t="shared" si="1"/>
        <v>51.61173487866715</v>
      </c>
      <c r="I39">
        <v>0.52500000000000002</v>
      </c>
      <c r="J39">
        <v>3.375</v>
      </c>
      <c r="K39">
        <v>50.9</v>
      </c>
      <c r="L39">
        <v>7.67</v>
      </c>
      <c r="M39">
        <v>20.6</v>
      </c>
      <c r="N39">
        <v>124.8</v>
      </c>
      <c r="O39" t="s">
        <v>556</v>
      </c>
      <c r="P39" s="2" t="s">
        <v>576</v>
      </c>
      <c r="Q39" s="2" t="s">
        <v>564</v>
      </c>
      <c r="R39" s="2" t="s">
        <v>581</v>
      </c>
    </row>
    <row r="40" spans="1:18" ht="60" hidden="1" x14ac:dyDescent="0.25">
      <c r="A40" t="s">
        <v>102</v>
      </c>
      <c r="B40" t="s">
        <v>90</v>
      </c>
      <c r="C40" t="s">
        <v>103</v>
      </c>
      <c r="D40">
        <v>1</v>
      </c>
      <c r="E40">
        <v>3.3410000000000002</v>
      </c>
      <c r="F40">
        <v>1.575</v>
      </c>
      <c r="G40">
        <v>1.766</v>
      </c>
      <c r="H40">
        <f t="shared" si="1"/>
        <v>47.14157437892846</v>
      </c>
      <c r="I40">
        <v>0</v>
      </c>
      <c r="J40">
        <v>1.575</v>
      </c>
      <c r="K40">
        <v>0.5</v>
      </c>
      <c r="L40">
        <v>5.09</v>
      </c>
      <c r="M40">
        <v>17.399999999999999</v>
      </c>
      <c r="N40">
        <v>124.8</v>
      </c>
      <c r="O40" t="s">
        <v>556</v>
      </c>
      <c r="P40" s="2" t="s">
        <v>576</v>
      </c>
      <c r="Q40" s="2" t="s">
        <v>568</v>
      </c>
      <c r="R40" s="2" t="s">
        <v>579</v>
      </c>
    </row>
    <row r="41" spans="1:18" ht="45" hidden="1" x14ac:dyDescent="0.25">
      <c r="A41" t="s">
        <v>104</v>
      </c>
      <c r="B41" t="s">
        <v>105</v>
      </c>
      <c r="C41" t="s">
        <v>106</v>
      </c>
      <c r="D41">
        <v>1</v>
      </c>
      <c r="E41">
        <v>0.39200000000000002</v>
      </c>
      <c r="F41">
        <v>-0.13800000000000001</v>
      </c>
      <c r="G41">
        <v>0.53</v>
      </c>
      <c r="H41">
        <v>0</v>
      </c>
      <c r="I41">
        <v>1.2</v>
      </c>
      <c r="J41">
        <v>1.0620000000000001</v>
      </c>
      <c r="K41">
        <v>337</v>
      </c>
      <c r="L41">
        <v>8.25</v>
      </c>
      <c r="M41">
        <v>21.25</v>
      </c>
      <c r="N41">
        <v>59.4</v>
      </c>
      <c r="O41" t="s">
        <v>552</v>
      </c>
      <c r="P41" s="2" t="s">
        <v>553</v>
      </c>
      <c r="Q41" s="2" t="s">
        <v>554</v>
      </c>
      <c r="R41" s="2" t="s">
        <v>582</v>
      </c>
    </row>
    <row r="42" spans="1:18" ht="45" hidden="1" x14ac:dyDescent="0.25">
      <c r="A42" t="s">
        <v>107</v>
      </c>
      <c r="B42" t="s">
        <v>105</v>
      </c>
      <c r="C42" t="s">
        <v>108</v>
      </c>
      <c r="D42">
        <v>1</v>
      </c>
      <c r="E42">
        <v>1.0209999999999999</v>
      </c>
      <c r="F42">
        <v>0.186</v>
      </c>
      <c r="G42">
        <v>0.83499999999999996</v>
      </c>
      <c r="H42">
        <f t="shared" si="1"/>
        <v>18.217433888344761</v>
      </c>
      <c r="I42">
        <v>1.6140000000000001</v>
      </c>
      <c r="J42">
        <v>1.8</v>
      </c>
      <c r="K42">
        <v>3.2450000000000001</v>
      </c>
      <c r="L42">
        <v>7.85</v>
      </c>
      <c r="M42">
        <v>18.25</v>
      </c>
      <c r="N42">
        <v>66.040000000000006</v>
      </c>
      <c r="O42" t="s">
        <v>552</v>
      </c>
      <c r="P42" s="2" t="s">
        <v>553</v>
      </c>
      <c r="Q42" s="2" t="s">
        <v>554</v>
      </c>
      <c r="R42" s="2" t="s">
        <v>582</v>
      </c>
    </row>
    <row r="43" spans="1:18" ht="45" hidden="1" x14ac:dyDescent="0.25">
      <c r="A43" t="s">
        <v>109</v>
      </c>
      <c r="B43" t="s">
        <v>110</v>
      </c>
      <c r="C43" t="s">
        <v>111</v>
      </c>
      <c r="D43">
        <v>1</v>
      </c>
      <c r="E43">
        <v>1.268</v>
      </c>
      <c r="F43">
        <v>0.69699999999999995</v>
      </c>
      <c r="G43">
        <v>0.57099999999999995</v>
      </c>
      <c r="H43">
        <f t="shared" si="1"/>
        <v>54.968454258675067</v>
      </c>
      <c r="K43">
        <v>350</v>
      </c>
      <c r="L43">
        <v>8.23</v>
      </c>
      <c r="M43">
        <v>28.99</v>
      </c>
      <c r="N43">
        <v>46</v>
      </c>
      <c r="O43" t="s">
        <v>552</v>
      </c>
      <c r="P43" s="2" t="s">
        <v>583</v>
      </c>
      <c r="Q43" s="2" t="s">
        <v>554</v>
      </c>
      <c r="R43" s="2" t="s">
        <v>584</v>
      </c>
    </row>
    <row r="44" spans="1:18" ht="45" hidden="1" x14ac:dyDescent="0.25">
      <c r="A44" t="s">
        <v>112</v>
      </c>
      <c r="B44" t="s">
        <v>113</v>
      </c>
      <c r="C44" t="s">
        <v>114</v>
      </c>
      <c r="D44">
        <v>1</v>
      </c>
      <c r="E44">
        <v>4.2</v>
      </c>
      <c r="F44">
        <v>1.4279999999999999</v>
      </c>
      <c r="G44">
        <v>2.1</v>
      </c>
      <c r="H44">
        <f t="shared" si="1"/>
        <v>34</v>
      </c>
      <c r="K44">
        <v>5.5999999999999999E-3</v>
      </c>
      <c r="L44">
        <v>5.4</v>
      </c>
      <c r="M44">
        <v>10.4</v>
      </c>
      <c r="N44">
        <v>61.4</v>
      </c>
      <c r="O44" t="s">
        <v>585</v>
      </c>
      <c r="P44" s="2" t="s">
        <v>586</v>
      </c>
      <c r="Q44" s="2" t="s">
        <v>568</v>
      </c>
      <c r="R44" s="2" t="s">
        <v>587</v>
      </c>
    </row>
    <row r="45" spans="1:18" ht="45" hidden="1" x14ac:dyDescent="0.25">
      <c r="A45" t="s">
        <v>115</v>
      </c>
      <c r="B45" t="s">
        <v>116</v>
      </c>
      <c r="C45" t="s">
        <v>117</v>
      </c>
      <c r="D45">
        <v>1</v>
      </c>
      <c r="E45">
        <v>2.16</v>
      </c>
      <c r="F45">
        <v>0.33600000000000002</v>
      </c>
      <c r="G45">
        <v>0.114</v>
      </c>
      <c r="H45">
        <f t="shared" si="1"/>
        <v>15.555555555555555</v>
      </c>
      <c r="K45">
        <v>1.7000000000000001E-2</v>
      </c>
      <c r="L45">
        <v>5.32</v>
      </c>
      <c r="M45">
        <v>24.5</v>
      </c>
      <c r="N45">
        <v>430</v>
      </c>
      <c r="O45" t="s">
        <v>570</v>
      </c>
      <c r="P45" s="2" t="s">
        <v>572</v>
      </c>
      <c r="Q45" s="2" t="s">
        <v>561</v>
      </c>
      <c r="R45" s="2" t="s">
        <v>588</v>
      </c>
    </row>
    <row r="46" spans="1:18" ht="60" hidden="1" x14ac:dyDescent="0.25">
      <c r="A46" t="s">
        <v>119</v>
      </c>
      <c r="B46" t="s">
        <v>118</v>
      </c>
      <c r="C46" t="s">
        <v>120</v>
      </c>
      <c r="D46">
        <v>6</v>
      </c>
      <c r="E46">
        <v>13.932</v>
      </c>
      <c r="F46">
        <v>1.393</v>
      </c>
      <c r="G46">
        <v>12.538</v>
      </c>
      <c r="H46">
        <f t="shared" si="1"/>
        <v>9.9985644559287969</v>
      </c>
      <c r="J46">
        <v>1.427</v>
      </c>
      <c r="K46">
        <v>195</v>
      </c>
      <c r="L46">
        <v>5.7850000000000001</v>
      </c>
      <c r="M46">
        <v>24.2</v>
      </c>
      <c r="N46">
        <v>198.6</v>
      </c>
      <c r="O46" t="s">
        <v>570</v>
      </c>
      <c r="P46" s="2" t="s">
        <v>572</v>
      </c>
      <c r="Q46" s="2" t="s">
        <v>564</v>
      </c>
      <c r="R46" s="2" t="s">
        <v>589</v>
      </c>
    </row>
    <row r="47" spans="1:18" ht="45" hidden="1" x14ac:dyDescent="0.25">
      <c r="A47" t="s">
        <v>121</v>
      </c>
      <c r="B47" t="s">
        <v>122</v>
      </c>
      <c r="C47" t="s">
        <v>123</v>
      </c>
      <c r="D47">
        <v>1</v>
      </c>
      <c r="E47">
        <v>3.036</v>
      </c>
      <c r="F47">
        <v>0.22</v>
      </c>
      <c r="G47">
        <v>2.8159999999999998</v>
      </c>
      <c r="H47">
        <f t="shared" si="1"/>
        <v>7.2463768115942031</v>
      </c>
      <c r="I47">
        <v>2.6970000000000001</v>
      </c>
      <c r="J47">
        <v>3.141</v>
      </c>
      <c r="K47">
        <v>300.25</v>
      </c>
      <c r="L47">
        <v>8.1999999999999993</v>
      </c>
      <c r="M47">
        <v>13.333</v>
      </c>
      <c r="N47">
        <v>65</v>
      </c>
      <c r="O47" t="s">
        <v>552</v>
      </c>
      <c r="P47" s="2" t="s">
        <v>553</v>
      </c>
      <c r="Q47" s="2" t="s">
        <v>564</v>
      </c>
      <c r="R47" s="2" t="s">
        <v>590</v>
      </c>
    </row>
    <row r="48" spans="1:18" ht="45" hidden="1" x14ac:dyDescent="0.25">
      <c r="A48" t="s">
        <v>124</v>
      </c>
      <c r="B48" t="s">
        <v>125</v>
      </c>
      <c r="C48" t="s">
        <v>126</v>
      </c>
      <c r="D48">
        <v>1</v>
      </c>
      <c r="E48">
        <v>66</v>
      </c>
      <c r="F48">
        <v>43.494</v>
      </c>
      <c r="G48">
        <v>22.506</v>
      </c>
      <c r="H48">
        <f t="shared" si="1"/>
        <v>65.900000000000006</v>
      </c>
      <c r="K48">
        <v>9.1000000000000004E-3</v>
      </c>
      <c r="L48">
        <v>6.3</v>
      </c>
      <c r="M48">
        <v>24.45</v>
      </c>
      <c r="N48">
        <v>432.8</v>
      </c>
      <c r="O48" t="s">
        <v>570</v>
      </c>
      <c r="P48" s="2" t="s">
        <v>572</v>
      </c>
      <c r="Q48" s="2" t="s">
        <v>561</v>
      </c>
      <c r="R48" s="2" t="s">
        <v>591</v>
      </c>
    </row>
    <row r="49" spans="1:18" ht="45" hidden="1" x14ac:dyDescent="0.25">
      <c r="A49" t="s">
        <v>127</v>
      </c>
      <c r="B49" t="s">
        <v>128</v>
      </c>
      <c r="C49" t="s">
        <v>129</v>
      </c>
      <c r="D49">
        <v>1</v>
      </c>
      <c r="E49">
        <v>1.464</v>
      </c>
      <c r="F49">
        <v>0.6</v>
      </c>
      <c r="G49">
        <v>0.86399999999999999</v>
      </c>
      <c r="H49">
        <f t="shared" si="1"/>
        <v>40.983606557377051</v>
      </c>
      <c r="K49">
        <v>0.2</v>
      </c>
      <c r="L49">
        <v>7.7</v>
      </c>
      <c r="M49">
        <v>8.6</v>
      </c>
      <c r="N49">
        <v>114.06</v>
      </c>
      <c r="O49" t="s">
        <v>552</v>
      </c>
      <c r="P49" s="2" t="s">
        <v>553</v>
      </c>
      <c r="Q49" s="2" t="s">
        <v>568</v>
      </c>
      <c r="R49" s="2" t="s">
        <v>592</v>
      </c>
    </row>
    <row r="50" spans="1:18" ht="60" x14ac:dyDescent="0.25">
      <c r="A50" t="s">
        <v>133</v>
      </c>
      <c r="B50" t="s">
        <v>134</v>
      </c>
      <c r="C50" t="s">
        <v>135</v>
      </c>
      <c r="D50">
        <v>1</v>
      </c>
      <c r="E50">
        <v>9.34</v>
      </c>
      <c r="F50">
        <v>0.32100000000000001</v>
      </c>
      <c r="G50">
        <v>9.0190000000000001</v>
      </c>
      <c r="H50">
        <f t="shared" si="1"/>
        <v>3.4368308351177732</v>
      </c>
      <c r="I50">
        <v>3.7999999999999999E-2</v>
      </c>
      <c r="J50">
        <v>0.35899999999999999</v>
      </c>
      <c r="K50">
        <v>5.2999999999999999E-2</v>
      </c>
      <c r="L50">
        <v>5.0789999999999997</v>
      </c>
      <c r="M50">
        <v>26</v>
      </c>
      <c r="N50">
        <v>189.7</v>
      </c>
      <c r="O50" t="s">
        <v>570</v>
      </c>
      <c r="P50" s="2" t="s">
        <v>557</v>
      </c>
      <c r="Q50" s="2" t="s">
        <v>561</v>
      </c>
      <c r="R50" s="2" t="s">
        <v>593</v>
      </c>
    </row>
    <row r="51" spans="1:18" ht="60" x14ac:dyDescent="0.25">
      <c r="A51" t="s">
        <v>136</v>
      </c>
      <c r="B51" t="s">
        <v>134</v>
      </c>
      <c r="C51" t="s">
        <v>137</v>
      </c>
      <c r="D51">
        <v>1</v>
      </c>
      <c r="E51">
        <v>9.34</v>
      </c>
      <c r="F51">
        <v>0.32100000000000001</v>
      </c>
      <c r="G51">
        <v>9.0190000000000001</v>
      </c>
      <c r="H51">
        <f t="shared" si="1"/>
        <v>3.4368308351177732</v>
      </c>
      <c r="I51">
        <v>3.7999999999999999E-2</v>
      </c>
      <c r="J51">
        <v>0.35899999999999999</v>
      </c>
      <c r="K51">
        <v>2.7E-2</v>
      </c>
      <c r="L51">
        <v>4.6420000000000003</v>
      </c>
      <c r="M51">
        <v>26.2</v>
      </c>
      <c r="N51">
        <v>189.7</v>
      </c>
      <c r="O51" t="s">
        <v>570</v>
      </c>
      <c r="P51" s="2" t="s">
        <v>557</v>
      </c>
      <c r="Q51" s="2" t="s">
        <v>561</v>
      </c>
      <c r="R51" s="2" t="s">
        <v>593</v>
      </c>
    </row>
    <row r="52" spans="1:18" ht="60" hidden="1" x14ac:dyDescent="0.25">
      <c r="A52" t="s">
        <v>138</v>
      </c>
      <c r="B52" t="s">
        <v>139</v>
      </c>
      <c r="C52" t="s">
        <v>140</v>
      </c>
      <c r="D52">
        <v>1</v>
      </c>
      <c r="E52">
        <v>2.7</v>
      </c>
      <c r="F52">
        <v>2.6</v>
      </c>
      <c r="G52">
        <v>0</v>
      </c>
      <c r="H52">
        <f t="shared" si="1"/>
        <v>96.296296296296291</v>
      </c>
      <c r="K52">
        <v>1.33</v>
      </c>
      <c r="L52">
        <v>7.5</v>
      </c>
      <c r="M52">
        <v>6.8</v>
      </c>
      <c r="N52">
        <v>33.700000000000003</v>
      </c>
      <c r="O52" t="s">
        <v>585</v>
      </c>
      <c r="P52" s="2" t="s">
        <v>594</v>
      </c>
      <c r="Q52" s="2" t="s">
        <v>554</v>
      </c>
      <c r="R52" s="2" t="s">
        <v>595</v>
      </c>
    </row>
    <row r="53" spans="1:18" ht="60" hidden="1" x14ac:dyDescent="0.25">
      <c r="A53" t="s">
        <v>141</v>
      </c>
      <c r="B53" t="s">
        <v>139</v>
      </c>
      <c r="C53" t="s">
        <v>142</v>
      </c>
      <c r="D53">
        <v>1</v>
      </c>
      <c r="E53">
        <v>1.3</v>
      </c>
      <c r="F53">
        <v>2.42</v>
      </c>
      <c r="G53">
        <v>-1.1200000000000001</v>
      </c>
      <c r="H53">
        <v>100</v>
      </c>
      <c r="I53">
        <v>0.21</v>
      </c>
      <c r="J53">
        <v>2.63</v>
      </c>
      <c r="K53">
        <v>1.5129999999999999</v>
      </c>
      <c r="L53">
        <v>7.5</v>
      </c>
      <c r="M53">
        <v>7.6</v>
      </c>
      <c r="N53">
        <v>33.700000000000003</v>
      </c>
      <c r="O53" t="s">
        <v>585</v>
      </c>
      <c r="P53" s="2" t="s">
        <v>594</v>
      </c>
      <c r="Q53" s="2" t="s">
        <v>554</v>
      </c>
      <c r="R53" s="2" t="s">
        <v>595</v>
      </c>
    </row>
    <row r="54" spans="1:18" ht="60" hidden="1" x14ac:dyDescent="0.25">
      <c r="A54" t="s">
        <v>143</v>
      </c>
      <c r="B54" t="s">
        <v>139</v>
      </c>
      <c r="C54" t="s">
        <v>144</v>
      </c>
      <c r="D54">
        <v>1</v>
      </c>
      <c r="E54">
        <v>0.8</v>
      </c>
      <c r="F54">
        <v>1.33</v>
      </c>
      <c r="G54">
        <v>-0.53</v>
      </c>
      <c r="H54">
        <v>100</v>
      </c>
      <c r="I54">
        <v>0.28000000000000003</v>
      </c>
      <c r="J54">
        <v>1.61</v>
      </c>
      <c r="K54">
        <v>0.36099999999999999</v>
      </c>
      <c r="L54">
        <v>7.5</v>
      </c>
      <c r="M54">
        <v>7.2</v>
      </c>
      <c r="N54">
        <v>33.700000000000003</v>
      </c>
      <c r="O54" t="s">
        <v>585</v>
      </c>
      <c r="P54" s="2" t="s">
        <v>594</v>
      </c>
      <c r="Q54" s="2" t="s">
        <v>554</v>
      </c>
      <c r="R54" s="2" t="s">
        <v>595</v>
      </c>
    </row>
    <row r="55" spans="1:18" ht="60" hidden="1" x14ac:dyDescent="0.25">
      <c r="A55" t="s">
        <v>145</v>
      </c>
      <c r="B55" t="s">
        <v>139</v>
      </c>
      <c r="C55" t="s">
        <v>146</v>
      </c>
      <c r="D55">
        <v>1</v>
      </c>
      <c r="E55">
        <v>2.7</v>
      </c>
      <c r="F55">
        <v>2.13</v>
      </c>
      <c r="G55">
        <v>0.56999999999999995</v>
      </c>
      <c r="H55">
        <f t="shared" si="1"/>
        <v>78.888888888888872</v>
      </c>
      <c r="I55">
        <v>0.24</v>
      </c>
      <c r="J55">
        <v>2.37</v>
      </c>
      <c r="K55">
        <v>0.128</v>
      </c>
      <c r="L55">
        <v>7.5</v>
      </c>
      <c r="M55">
        <v>6.9</v>
      </c>
      <c r="N55">
        <v>33.700000000000003</v>
      </c>
      <c r="O55" t="s">
        <v>585</v>
      </c>
      <c r="P55" s="2" t="s">
        <v>594</v>
      </c>
      <c r="Q55" s="2" t="s">
        <v>554</v>
      </c>
      <c r="R55" s="2" t="s">
        <v>595</v>
      </c>
    </row>
    <row r="56" spans="1:18" ht="60" hidden="1" x14ac:dyDescent="0.25">
      <c r="A56" t="s">
        <v>147</v>
      </c>
      <c r="B56" t="s">
        <v>139</v>
      </c>
      <c r="C56" t="s">
        <v>148</v>
      </c>
      <c r="D56">
        <v>1</v>
      </c>
      <c r="E56">
        <v>1.4</v>
      </c>
      <c r="F56">
        <v>1.1200000000000001</v>
      </c>
      <c r="G56">
        <v>0.28000000000000003</v>
      </c>
      <c r="H56">
        <f t="shared" si="1"/>
        <v>80.000000000000014</v>
      </c>
      <c r="I56">
        <v>0.19</v>
      </c>
      <c r="J56">
        <v>1.35</v>
      </c>
      <c r="K56">
        <v>1.4E-2</v>
      </c>
      <c r="L56">
        <v>7.5</v>
      </c>
      <c r="M56">
        <v>5.4</v>
      </c>
      <c r="N56">
        <v>33.700000000000003</v>
      </c>
      <c r="O56" t="s">
        <v>585</v>
      </c>
      <c r="P56" s="2" t="s">
        <v>594</v>
      </c>
      <c r="Q56" s="2" t="s">
        <v>554</v>
      </c>
      <c r="R56" s="2" t="s">
        <v>595</v>
      </c>
    </row>
    <row r="57" spans="1:18" ht="60" hidden="1" x14ac:dyDescent="0.25">
      <c r="A57" t="s">
        <v>149</v>
      </c>
      <c r="B57" t="s">
        <v>139</v>
      </c>
      <c r="C57" t="s">
        <v>150</v>
      </c>
      <c r="D57">
        <v>1</v>
      </c>
      <c r="E57">
        <v>1.5</v>
      </c>
      <c r="F57">
        <v>1.93</v>
      </c>
      <c r="G57">
        <v>-0.43</v>
      </c>
      <c r="H57">
        <v>100</v>
      </c>
      <c r="I57">
        <v>0.15</v>
      </c>
      <c r="J57">
        <v>2.08</v>
      </c>
      <c r="K57">
        <v>0.10100000000000001</v>
      </c>
      <c r="L57">
        <v>7.5</v>
      </c>
      <c r="M57">
        <v>6.1</v>
      </c>
      <c r="N57">
        <v>33.700000000000003</v>
      </c>
      <c r="O57" t="s">
        <v>585</v>
      </c>
      <c r="P57" s="2" t="s">
        <v>594</v>
      </c>
      <c r="Q57" s="2" t="s">
        <v>554</v>
      </c>
      <c r="R57" s="2" t="s">
        <v>595</v>
      </c>
    </row>
    <row r="58" spans="1:18" ht="60" hidden="1" x14ac:dyDescent="0.25">
      <c r="A58" t="s">
        <v>151</v>
      </c>
      <c r="B58" t="s">
        <v>139</v>
      </c>
      <c r="C58" t="s">
        <v>152</v>
      </c>
      <c r="D58">
        <v>1</v>
      </c>
      <c r="E58">
        <v>1.3</v>
      </c>
      <c r="F58">
        <v>1.05</v>
      </c>
      <c r="G58">
        <v>0.25</v>
      </c>
      <c r="H58">
        <f t="shared" si="1"/>
        <v>80.769230769230774</v>
      </c>
      <c r="I58">
        <v>0.24</v>
      </c>
      <c r="J58">
        <v>1.29</v>
      </c>
      <c r="K58">
        <v>0.65400000000000003</v>
      </c>
      <c r="L58">
        <v>7.5</v>
      </c>
      <c r="M58">
        <v>8.1</v>
      </c>
      <c r="N58">
        <v>33.700000000000003</v>
      </c>
      <c r="O58" t="s">
        <v>585</v>
      </c>
      <c r="P58" s="2" t="s">
        <v>594</v>
      </c>
      <c r="Q58" s="2" t="s">
        <v>554</v>
      </c>
      <c r="R58" s="2" t="s">
        <v>595</v>
      </c>
    </row>
    <row r="59" spans="1:18" ht="45" hidden="1" x14ac:dyDescent="0.25">
      <c r="A59" t="s">
        <v>153</v>
      </c>
      <c r="B59" t="s">
        <v>154</v>
      </c>
      <c r="C59" t="s">
        <v>155</v>
      </c>
      <c r="D59">
        <v>1</v>
      </c>
      <c r="E59">
        <v>2.3490000000000002</v>
      </c>
      <c r="F59">
        <v>1.1599999999999999</v>
      </c>
      <c r="G59">
        <v>1.1890000000000001</v>
      </c>
      <c r="H59">
        <f t="shared" si="1"/>
        <v>49.382716049382708</v>
      </c>
      <c r="I59">
        <v>2.0350000000000001</v>
      </c>
      <c r="J59">
        <v>3.1949999999999998</v>
      </c>
      <c r="K59">
        <v>5.8000000000000003E-2</v>
      </c>
      <c r="L59">
        <v>7.96</v>
      </c>
      <c r="M59">
        <v>19.5</v>
      </c>
      <c r="N59">
        <v>38.862000000000002</v>
      </c>
      <c r="O59" t="s">
        <v>552</v>
      </c>
      <c r="P59" s="2" t="s">
        <v>574</v>
      </c>
      <c r="Q59" s="2" t="s">
        <v>561</v>
      </c>
      <c r="R59" s="2" t="s">
        <v>596</v>
      </c>
    </row>
    <row r="60" spans="1:18" ht="45" hidden="1" x14ac:dyDescent="0.25">
      <c r="A60" t="s">
        <v>156</v>
      </c>
      <c r="B60" t="s">
        <v>154</v>
      </c>
      <c r="C60" t="s">
        <v>157</v>
      </c>
      <c r="D60">
        <v>1</v>
      </c>
      <c r="E60">
        <v>1.2809999999999999</v>
      </c>
      <c r="F60">
        <v>-0.59799999999999998</v>
      </c>
      <c r="G60">
        <v>1.879</v>
      </c>
      <c r="H60">
        <v>0</v>
      </c>
      <c r="I60">
        <v>2.4279999999999999</v>
      </c>
      <c r="J60">
        <v>1.83</v>
      </c>
      <c r="K60">
        <v>3.6999999999999998E-2</v>
      </c>
      <c r="L60">
        <v>8.06</v>
      </c>
      <c r="M60">
        <v>14.5</v>
      </c>
      <c r="N60">
        <v>38.862000000000002</v>
      </c>
      <c r="O60" t="s">
        <v>552</v>
      </c>
      <c r="P60" s="2" t="s">
        <v>574</v>
      </c>
      <c r="Q60" s="2" t="s">
        <v>561</v>
      </c>
      <c r="R60" s="2" t="s">
        <v>596</v>
      </c>
    </row>
    <row r="61" spans="1:18" ht="45" hidden="1" x14ac:dyDescent="0.25">
      <c r="A61" t="s">
        <v>158</v>
      </c>
      <c r="B61" t="s">
        <v>154</v>
      </c>
      <c r="C61" t="s">
        <v>159</v>
      </c>
      <c r="D61">
        <v>1</v>
      </c>
      <c r="E61">
        <v>4.2939999999999996</v>
      </c>
      <c r="F61">
        <v>1.871</v>
      </c>
      <c r="G61">
        <v>2.423</v>
      </c>
      <c r="H61">
        <f t="shared" si="1"/>
        <v>43.572426641825807</v>
      </c>
      <c r="I61">
        <v>2.802</v>
      </c>
      <c r="J61">
        <v>4.673</v>
      </c>
      <c r="K61">
        <v>6.2E-2</v>
      </c>
      <c r="L61">
        <v>8.0399999999999991</v>
      </c>
      <c r="M61">
        <v>11.45</v>
      </c>
      <c r="N61">
        <v>38.862000000000002</v>
      </c>
      <c r="O61" t="s">
        <v>552</v>
      </c>
      <c r="P61" s="2" t="s">
        <v>574</v>
      </c>
      <c r="Q61" s="2" t="s">
        <v>561</v>
      </c>
      <c r="R61" s="2" t="s">
        <v>596</v>
      </c>
    </row>
    <row r="62" spans="1:18" ht="60" hidden="1" x14ac:dyDescent="0.25">
      <c r="A62" t="s">
        <v>160</v>
      </c>
      <c r="B62" t="s">
        <v>161</v>
      </c>
      <c r="C62" t="s">
        <v>162</v>
      </c>
      <c r="D62">
        <v>1</v>
      </c>
      <c r="E62">
        <v>1.05</v>
      </c>
      <c r="F62">
        <v>1.29</v>
      </c>
      <c r="G62">
        <v>-0.24</v>
      </c>
      <c r="H62">
        <v>100</v>
      </c>
      <c r="I62">
        <v>-0.11</v>
      </c>
      <c r="J62">
        <v>1.42</v>
      </c>
      <c r="K62">
        <v>0.3</v>
      </c>
      <c r="L62">
        <v>7.5</v>
      </c>
      <c r="M62">
        <v>26.76</v>
      </c>
      <c r="N62">
        <v>116.7</v>
      </c>
      <c r="O62" t="s">
        <v>570</v>
      </c>
      <c r="P62" s="2" t="s">
        <v>557</v>
      </c>
      <c r="Q62" s="2" t="s">
        <v>554</v>
      </c>
      <c r="R62" s="2" t="s">
        <v>597</v>
      </c>
    </row>
    <row r="63" spans="1:18" ht="45" hidden="1" x14ac:dyDescent="0.25">
      <c r="A63" t="s">
        <v>163</v>
      </c>
      <c r="B63" t="s">
        <v>164</v>
      </c>
      <c r="C63" t="s">
        <v>165</v>
      </c>
      <c r="D63">
        <v>1</v>
      </c>
      <c r="E63">
        <v>2.7959999999999998</v>
      </c>
      <c r="F63">
        <v>0.47499999999999998</v>
      </c>
      <c r="G63">
        <v>2.3210000000000002</v>
      </c>
      <c r="H63">
        <f t="shared" si="1"/>
        <v>16.988555078683834</v>
      </c>
      <c r="K63">
        <v>1E-4</v>
      </c>
      <c r="L63">
        <v>5.3710000000000004</v>
      </c>
      <c r="M63">
        <v>12.484</v>
      </c>
      <c r="N63">
        <v>42.2</v>
      </c>
      <c r="O63" t="s">
        <v>585</v>
      </c>
      <c r="P63" s="2" t="s">
        <v>586</v>
      </c>
      <c r="Q63" s="2" t="s">
        <v>568</v>
      </c>
      <c r="R63" s="2" t="s">
        <v>598</v>
      </c>
    </row>
    <row r="64" spans="1:18" ht="45" hidden="1" x14ac:dyDescent="0.25">
      <c r="A64" t="s">
        <v>166</v>
      </c>
      <c r="B64" t="s">
        <v>164</v>
      </c>
      <c r="C64" t="s">
        <v>167</v>
      </c>
      <c r="D64">
        <v>1</v>
      </c>
      <c r="E64">
        <v>2.76</v>
      </c>
      <c r="F64">
        <v>0.46899999999999997</v>
      </c>
      <c r="G64">
        <v>2.2909999999999999</v>
      </c>
      <c r="H64">
        <f t="shared" si="1"/>
        <v>16.992753623188406</v>
      </c>
      <c r="K64">
        <v>9.17142857142857E-3</v>
      </c>
      <c r="L64">
        <v>5.3710000000000004</v>
      </c>
      <c r="M64">
        <v>12.63</v>
      </c>
      <c r="N64">
        <v>42.2</v>
      </c>
      <c r="O64" t="s">
        <v>585</v>
      </c>
      <c r="P64" s="2" t="s">
        <v>586</v>
      </c>
      <c r="Q64" s="2" t="s">
        <v>568</v>
      </c>
      <c r="R64" s="2" t="s">
        <v>598</v>
      </c>
    </row>
    <row r="65" spans="1:18" ht="45" hidden="1" x14ac:dyDescent="0.25">
      <c r="A65" t="s">
        <v>168</v>
      </c>
      <c r="B65" t="s">
        <v>164</v>
      </c>
      <c r="C65" t="s">
        <v>169</v>
      </c>
      <c r="D65">
        <v>1</v>
      </c>
      <c r="E65">
        <v>2.472</v>
      </c>
      <c r="F65">
        <v>0.42</v>
      </c>
      <c r="G65">
        <v>2.052</v>
      </c>
      <c r="H65">
        <f t="shared" si="1"/>
        <v>16.990291262135923</v>
      </c>
      <c r="K65">
        <v>9.1999999999999998E-3</v>
      </c>
      <c r="L65">
        <v>5.3710000000000004</v>
      </c>
      <c r="M65">
        <v>13.489000000000001</v>
      </c>
      <c r="N65">
        <v>42.2</v>
      </c>
      <c r="O65" t="s">
        <v>585</v>
      </c>
      <c r="P65" s="2" t="s">
        <v>586</v>
      </c>
      <c r="Q65" s="2" t="s">
        <v>568</v>
      </c>
      <c r="R65" s="2" t="s">
        <v>598</v>
      </c>
    </row>
    <row r="66" spans="1:18" ht="45" hidden="1" x14ac:dyDescent="0.25">
      <c r="A66" t="s">
        <v>170</v>
      </c>
      <c r="B66" t="s">
        <v>164</v>
      </c>
      <c r="C66" t="s">
        <v>171</v>
      </c>
      <c r="D66">
        <v>1</v>
      </c>
      <c r="E66">
        <v>14.052</v>
      </c>
      <c r="F66">
        <v>2.3889999999999998</v>
      </c>
      <c r="G66">
        <v>11.663</v>
      </c>
      <c r="H66">
        <f t="shared" si="1"/>
        <v>17.001138627953317</v>
      </c>
      <c r="K66">
        <v>9.7999999999999997E-3</v>
      </c>
      <c r="L66">
        <v>5.3710000000000004</v>
      </c>
      <c r="M66">
        <v>12.704000000000001</v>
      </c>
      <c r="N66">
        <v>42.2</v>
      </c>
      <c r="O66" t="s">
        <v>585</v>
      </c>
      <c r="P66" s="2" t="s">
        <v>586</v>
      </c>
      <c r="Q66" s="2" t="s">
        <v>568</v>
      </c>
      <c r="R66" s="2" t="s">
        <v>598</v>
      </c>
    </row>
    <row r="67" spans="1:18" ht="45" hidden="1" x14ac:dyDescent="0.25">
      <c r="A67" t="s">
        <v>172</v>
      </c>
      <c r="B67" t="s">
        <v>164</v>
      </c>
      <c r="C67" t="s">
        <v>173</v>
      </c>
      <c r="D67">
        <v>1</v>
      </c>
      <c r="E67">
        <v>9.3840000000000003</v>
      </c>
      <c r="F67">
        <v>1.595</v>
      </c>
      <c r="G67">
        <v>7.7889999999999997</v>
      </c>
      <c r="H67">
        <f t="shared" si="1"/>
        <v>16.997016197783459</v>
      </c>
      <c r="K67">
        <v>1.0699999999999999E-2</v>
      </c>
      <c r="L67">
        <v>5.3710000000000004</v>
      </c>
      <c r="M67">
        <v>12.282999999999999</v>
      </c>
      <c r="N67">
        <v>42.2</v>
      </c>
      <c r="O67" t="s">
        <v>585</v>
      </c>
      <c r="P67" s="2" t="s">
        <v>586</v>
      </c>
      <c r="Q67" s="2" t="s">
        <v>568</v>
      </c>
      <c r="R67" s="2" t="s">
        <v>598</v>
      </c>
    </row>
    <row r="68" spans="1:18" ht="45" hidden="1" x14ac:dyDescent="0.25">
      <c r="A68" t="s">
        <v>174</v>
      </c>
      <c r="B68" t="s">
        <v>164</v>
      </c>
      <c r="C68" t="s">
        <v>175</v>
      </c>
      <c r="D68">
        <v>1</v>
      </c>
      <c r="E68">
        <v>13.56</v>
      </c>
      <c r="F68">
        <v>2.3050000000000002</v>
      </c>
      <c r="G68">
        <v>11.255000000000001</v>
      </c>
      <c r="H68">
        <f t="shared" si="1"/>
        <v>16.998525073746311</v>
      </c>
      <c r="K68">
        <v>1.8800000000000001E-2</v>
      </c>
      <c r="L68">
        <v>5.3710000000000004</v>
      </c>
      <c r="M68">
        <v>13.727</v>
      </c>
      <c r="N68">
        <v>42.2</v>
      </c>
      <c r="O68" t="s">
        <v>585</v>
      </c>
      <c r="P68" s="2" t="s">
        <v>586</v>
      </c>
      <c r="Q68" s="2" t="s">
        <v>568</v>
      </c>
      <c r="R68" s="2" t="s">
        <v>598</v>
      </c>
    </row>
    <row r="69" spans="1:18" ht="45" hidden="1" x14ac:dyDescent="0.25">
      <c r="A69" t="s">
        <v>176</v>
      </c>
      <c r="B69" t="s">
        <v>164</v>
      </c>
      <c r="C69" t="s">
        <v>177</v>
      </c>
      <c r="D69">
        <v>1</v>
      </c>
      <c r="E69">
        <v>8.2919999999999998</v>
      </c>
      <c r="F69">
        <v>1.41</v>
      </c>
      <c r="G69">
        <v>6.8819999999999997</v>
      </c>
      <c r="H69">
        <f t="shared" si="1"/>
        <v>17.004341534008681</v>
      </c>
      <c r="K69">
        <v>2.0899999999999998E-2</v>
      </c>
      <c r="L69">
        <v>5.3710000000000004</v>
      </c>
      <c r="M69">
        <v>15.551</v>
      </c>
      <c r="N69">
        <v>42.2</v>
      </c>
      <c r="O69" t="s">
        <v>585</v>
      </c>
      <c r="P69" s="2" t="s">
        <v>586</v>
      </c>
      <c r="Q69" s="2" t="s">
        <v>568</v>
      </c>
      <c r="R69" s="2" t="s">
        <v>598</v>
      </c>
    </row>
    <row r="70" spans="1:18" ht="45" hidden="1" x14ac:dyDescent="0.25">
      <c r="A70" t="s">
        <v>178</v>
      </c>
      <c r="B70" t="s">
        <v>164</v>
      </c>
      <c r="C70" t="s">
        <v>179</v>
      </c>
      <c r="D70">
        <v>1</v>
      </c>
      <c r="E70">
        <v>3.8879999999999999</v>
      </c>
      <c r="F70">
        <v>1.867</v>
      </c>
      <c r="G70">
        <v>2.0209999999999999</v>
      </c>
      <c r="H70">
        <f t="shared" si="1"/>
        <v>48.019547325102877</v>
      </c>
      <c r="I70">
        <v>0.68600000000000005</v>
      </c>
      <c r="J70">
        <v>2.5539999999999998</v>
      </c>
      <c r="K70">
        <v>2.3532857142857144E-2</v>
      </c>
      <c r="L70">
        <v>5.3710000000000004</v>
      </c>
      <c r="M70">
        <v>13.222</v>
      </c>
      <c r="N70">
        <v>42.2</v>
      </c>
      <c r="O70" t="s">
        <v>585</v>
      </c>
      <c r="P70" s="2" t="s">
        <v>586</v>
      </c>
      <c r="Q70" s="2" t="s">
        <v>568</v>
      </c>
      <c r="R70" s="2" t="s">
        <v>598</v>
      </c>
    </row>
    <row r="71" spans="1:18" ht="60" hidden="1" x14ac:dyDescent="0.25">
      <c r="A71" t="s">
        <v>180</v>
      </c>
      <c r="B71" t="s">
        <v>181</v>
      </c>
      <c r="C71" t="s">
        <v>182</v>
      </c>
      <c r="D71">
        <v>1</v>
      </c>
      <c r="E71">
        <f>F71+G71</f>
        <v>8.35</v>
      </c>
      <c r="F71">
        <v>-2.3199999999999998</v>
      </c>
      <c r="G71">
        <v>10.67</v>
      </c>
      <c r="H71">
        <v>0</v>
      </c>
      <c r="K71">
        <v>2.09</v>
      </c>
      <c r="L71">
        <v>8.75</v>
      </c>
      <c r="M71">
        <v>21.65</v>
      </c>
      <c r="N71">
        <v>34</v>
      </c>
      <c r="O71" t="s">
        <v>599</v>
      </c>
      <c r="P71" s="2" t="s">
        <v>600</v>
      </c>
      <c r="Q71" s="2" t="s">
        <v>561</v>
      </c>
      <c r="R71" s="2" t="s">
        <v>601</v>
      </c>
    </row>
    <row r="72" spans="1:18" ht="60" hidden="1" x14ac:dyDescent="0.25">
      <c r="A72" t="s">
        <v>183</v>
      </c>
      <c r="B72" t="s">
        <v>181</v>
      </c>
      <c r="C72" t="s">
        <v>184</v>
      </c>
      <c r="D72">
        <v>1</v>
      </c>
      <c r="E72">
        <f t="shared" ref="E72:E86" si="2">F72+G72</f>
        <v>7.0500000000000007</v>
      </c>
      <c r="F72">
        <v>3.49</v>
      </c>
      <c r="G72">
        <v>3.56</v>
      </c>
      <c r="H72">
        <f t="shared" si="1"/>
        <v>49.50354609929078</v>
      </c>
      <c r="K72">
        <v>2.09</v>
      </c>
      <c r="L72">
        <v>8.75</v>
      </c>
      <c r="M72">
        <v>21.65</v>
      </c>
      <c r="N72">
        <v>34</v>
      </c>
      <c r="O72" t="s">
        <v>599</v>
      </c>
      <c r="P72" s="2" t="s">
        <v>600</v>
      </c>
      <c r="Q72" s="2" t="s">
        <v>561</v>
      </c>
      <c r="R72" s="2" t="s">
        <v>601</v>
      </c>
    </row>
    <row r="73" spans="1:18" ht="60" hidden="1" x14ac:dyDescent="0.25">
      <c r="A73" t="s">
        <v>185</v>
      </c>
      <c r="B73" t="s">
        <v>181</v>
      </c>
      <c r="C73" t="s">
        <v>186</v>
      </c>
      <c r="D73">
        <v>1</v>
      </c>
      <c r="E73">
        <f t="shared" si="2"/>
        <v>5.27</v>
      </c>
      <c r="F73">
        <v>2.82</v>
      </c>
      <c r="G73">
        <v>2.4500000000000002</v>
      </c>
      <c r="H73">
        <f t="shared" si="1"/>
        <v>53.510436432637576</v>
      </c>
      <c r="K73">
        <v>2.09</v>
      </c>
      <c r="L73">
        <v>8.75</v>
      </c>
      <c r="M73">
        <v>21.65</v>
      </c>
      <c r="N73">
        <v>34</v>
      </c>
      <c r="O73" t="s">
        <v>599</v>
      </c>
      <c r="P73" s="2" t="s">
        <v>600</v>
      </c>
      <c r="Q73" s="2" t="s">
        <v>561</v>
      </c>
      <c r="R73" s="2" t="s">
        <v>601</v>
      </c>
    </row>
    <row r="74" spans="1:18" ht="60" hidden="1" x14ac:dyDescent="0.25">
      <c r="A74" t="s">
        <v>187</v>
      </c>
      <c r="B74" t="s">
        <v>181</v>
      </c>
      <c r="C74" t="s">
        <v>188</v>
      </c>
      <c r="D74">
        <v>1</v>
      </c>
      <c r="E74">
        <f t="shared" si="2"/>
        <v>6</v>
      </c>
      <c r="F74">
        <v>3.16</v>
      </c>
      <c r="G74">
        <v>2.84</v>
      </c>
      <c r="H74">
        <f t="shared" si="1"/>
        <v>52.666666666666671</v>
      </c>
      <c r="K74">
        <v>2.09</v>
      </c>
      <c r="L74">
        <v>8.75</v>
      </c>
      <c r="M74">
        <v>21.65</v>
      </c>
      <c r="N74">
        <v>34</v>
      </c>
      <c r="O74" t="s">
        <v>599</v>
      </c>
      <c r="P74" s="2" t="s">
        <v>600</v>
      </c>
      <c r="Q74" s="2" t="s">
        <v>561</v>
      </c>
      <c r="R74" s="2" t="s">
        <v>601</v>
      </c>
    </row>
    <row r="75" spans="1:18" ht="60" hidden="1" x14ac:dyDescent="0.25">
      <c r="A75" t="s">
        <v>189</v>
      </c>
      <c r="B75" t="s">
        <v>181</v>
      </c>
      <c r="C75" t="s">
        <v>190</v>
      </c>
      <c r="D75">
        <v>1</v>
      </c>
      <c r="E75">
        <f t="shared" si="2"/>
        <v>6.84</v>
      </c>
      <c r="F75">
        <v>3.21</v>
      </c>
      <c r="G75">
        <v>3.63</v>
      </c>
      <c r="H75">
        <f t="shared" si="1"/>
        <v>46.929824561403507</v>
      </c>
      <c r="K75">
        <v>2.09</v>
      </c>
      <c r="L75">
        <v>8.75</v>
      </c>
      <c r="M75">
        <v>21.65</v>
      </c>
      <c r="N75">
        <v>34</v>
      </c>
      <c r="O75" t="s">
        <v>599</v>
      </c>
      <c r="P75" s="2" t="s">
        <v>600</v>
      </c>
      <c r="Q75" s="2" t="s">
        <v>561</v>
      </c>
      <c r="R75" s="2" t="s">
        <v>601</v>
      </c>
    </row>
    <row r="76" spans="1:18" ht="60" hidden="1" x14ac:dyDescent="0.25">
      <c r="A76" t="s">
        <v>191</v>
      </c>
      <c r="B76" t="s">
        <v>181</v>
      </c>
      <c r="C76" t="s">
        <v>192</v>
      </c>
      <c r="D76">
        <v>1</v>
      </c>
      <c r="E76">
        <f t="shared" si="2"/>
        <v>6.62</v>
      </c>
      <c r="F76">
        <v>1.42</v>
      </c>
      <c r="G76">
        <v>5.2</v>
      </c>
      <c r="H76">
        <f t="shared" si="1"/>
        <v>21.450151057401811</v>
      </c>
      <c r="K76">
        <v>2.09</v>
      </c>
      <c r="L76">
        <v>8.75</v>
      </c>
      <c r="M76">
        <v>21.65</v>
      </c>
      <c r="N76">
        <v>34</v>
      </c>
      <c r="O76" t="s">
        <v>599</v>
      </c>
      <c r="P76" s="2" t="s">
        <v>600</v>
      </c>
      <c r="Q76" s="2" t="s">
        <v>561</v>
      </c>
      <c r="R76" s="2" t="s">
        <v>601</v>
      </c>
    </row>
    <row r="77" spans="1:18" ht="60" hidden="1" x14ac:dyDescent="0.25">
      <c r="A77" t="s">
        <v>193</v>
      </c>
      <c r="B77" t="s">
        <v>181</v>
      </c>
      <c r="C77" t="s">
        <v>194</v>
      </c>
      <c r="D77">
        <v>1</v>
      </c>
      <c r="E77">
        <f t="shared" si="2"/>
        <v>7</v>
      </c>
      <c r="F77">
        <v>5.34</v>
      </c>
      <c r="G77">
        <v>1.66</v>
      </c>
      <c r="H77">
        <f t="shared" si="1"/>
        <v>76.285714285714278</v>
      </c>
      <c r="K77">
        <v>2.09</v>
      </c>
      <c r="L77">
        <v>8.75</v>
      </c>
      <c r="M77">
        <v>21.65</v>
      </c>
      <c r="N77">
        <v>34</v>
      </c>
      <c r="O77" t="s">
        <v>599</v>
      </c>
      <c r="P77" s="2" t="s">
        <v>600</v>
      </c>
      <c r="Q77" s="2" t="s">
        <v>561</v>
      </c>
      <c r="R77" s="2" t="s">
        <v>601</v>
      </c>
    </row>
    <row r="78" spans="1:18" ht="60" hidden="1" x14ac:dyDescent="0.25">
      <c r="A78" t="s">
        <v>195</v>
      </c>
      <c r="B78" t="s">
        <v>181</v>
      </c>
      <c r="C78" t="s">
        <v>196</v>
      </c>
      <c r="D78">
        <v>1</v>
      </c>
      <c r="E78">
        <f t="shared" si="2"/>
        <v>9.84</v>
      </c>
      <c r="F78">
        <v>6.81</v>
      </c>
      <c r="G78">
        <v>3.03</v>
      </c>
      <c r="H78">
        <f t="shared" si="1"/>
        <v>69.207317073170728</v>
      </c>
      <c r="K78">
        <v>2.09</v>
      </c>
      <c r="L78">
        <v>8.75</v>
      </c>
      <c r="M78">
        <v>21.65</v>
      </c>
      <c r="N78">
        <v>34</v>
      </c>
      <c r="O78" t="s">
        <v>599</v>
      </c>
      <c r="P78" s="2" t="s">
        <v>600</v>
      </c>
      <c r="Q78" s="2" t="s">
        <v>561</v>
      </c>
      <c r="R78" s="2" t="s">
        <v>601</v>
      </c>
    </row>
    <row r="79" spans="1:18" ht="60" x14ac:dyDescent="0.25">
      <c r="A79" t="s">
        <v>197</v>
      </c>
      <c r="B79" t="s">
        <v>181</v>
      </c>
      <c r="C79" t="s">
        <v>198</v>
      </c>
      <c r="D79">
        <v>1</v>
      </c>
      <c r="E79">
        <f t="shared" si="2"/>
        <v>5.28</v>
      </c>
      <c r="F79">
        <v>0.19</v>
      </c>
      <c r="G79">
        <v>5.09</v>
      </c>
      <c r="H79">
        <f t="shared" si="1"/>
        <v>3.5984848484848482</v>
      </c>
      <c r="K79">
        <v>2.09</v>
      </c>
      <c r="L79">
        <v>8.75</v>
      </c>
      <c r="M79">
        <v>21.65</v>
      </c>
      <c r="N79">
        <v>34</v>
      </c>
      <c r="O79" t="s">
        <v>599</v>
      </c>
      <c r="P79" s="2" t="s">
        <v>600</v>
      </c>
      <c r="Q79" s="2" t="s">
        <v>561</v>
      </c>
      <c r="R79" s="2" t="s">
        <v>601</v>
      </c>
    </row>
    <row r="80" spans="1:18" ht="60" hidden="1" x14ac:dyDescent="0.25">
      <c r="A80" t="s">
        <v>199</v>
      </c>
      <c r="B80" t="s">
        <v>181</v>
      </c>
      <c r="C80" t="s">
        <v>200</v>
      </c>
      <c r="D80">
        <v>1</v>
      </c>
      <c r="E80">
        <f t="shared" si="2"/>
        <v>5.29</v>
      </c>
      <c r="F80">
        <v>-0.06</v>
      </c>
      <c r="G80">
        <v>5.35</v>
      </c>
      <c r="H80">
        <v>0</v>
      </c>
      <c r="K80">
        <v>2.09</v>
      </c>
      <c r="L80">
        <v>8.75</v>
      </c>
      <c r="M80">
        <v>21.65</v>
      </c>
      <c r="N80">
        <v>34</v>
      </c>
      <c r="O80" t="s">
        <v>599</v>
      </c>
      <c r="P80" s="2" t="s">
        <v>600</v>
      </c>
      <c r="Q80" s="2" t="s">
        <v>561</v>
      </c>
      <c r="R80" s="2" t="s">
        <v>601</v>
      </c>
    </row>
    <row r="81" spans="1:18" ht="60" hidden="1" x14ac:dyDescent="0.25">
      <c r="A81" t="s">
        <v>201</v>
      </c>
      <c r="B81" t="s">
        <v>181</v>
      </c>
      <c r="C81" t="s">
        <v>202</v>
      </c>
      <c r="D81">
        <v>1</v>
      </c>
      <c r="E81">
        <f t="shared" si="2"/>
        <v>2.9699999999999998</v>
      </c>
      <c r="F81">
        <v>-1.32</v>
      </c>
      <c r="G81">
        <v>4.29</v>
      </c>
      <c r="H81">
        <v>0</v>
      </c>
      <c r="K81">
        <v>2.09</v>
      </c>
      <c r="L81">
        <v>8.75</v>
      </c>
      <c r="M81">
        <v>21.65</v>
      </c>
      <c r="N81">
        <v>34</v>
      </c>
      <c r="O81" t="s">
        <v>599</v>
      </c>
      <c r="P81" s="2" t="s">
        <v>600</v>
      </c>
      <c r="Q81" s="2" t="s">
        <v>561</v>
      </c>
      <c r="R81" s="2" t="s">
        <v>601</v>
      </c>
    </row>
    <row r="82" spans="1:18" ht="60" hidden="1" x14ac:dyDescent="0.25">
      <c r="A82" t="s">
        <v>203</v>
      </c>
      <c r="B82" t="s">
        <v>181</v>
      </c>
      <c r="C82" t="s">
        <v>204</v>
      </c>
      <c r="D82">
        <v>1</v>
      </c>
      <c r="E82">
        <f t="shared" si="2"/>
        <v>3.88</v>
      </c>
      <c r="F82">
        <v>-0.12</v>
      </c>
      <c r="G82">
        <v>4</v>
      </c>
      <c r="H82">
        <v>0</v>
      </c>
      <c r="K82">
        <v>2.09</v>
      </c>
      <c r="L82">
        <v>8.75</v>
      </c>
      <c r="M82">
        <v>21.65</v>
      </c>
      <c r="N82">
        <v>34</v>
      </c>
      <c r="O82" t="s">
        <v>599</v>
      </c>
      <c r="P82" s="2" t="s">
        <v>600</v>
      </c>
      <c r="Q82" s="2" t="s">
        <v>561</v>
      </c>
      <c r="R82" s="2" t="s">
        <v>601</v>
      </c>
    </row>
    <row r="83" spans="1:18" ht="60" hidden="1" x14ac:dyDescent="0.25">
      <c r="A83" t="s">
        <v>205</v>
      </c>
      <c r="B83" t="s">
        <v>181</v>
      </c>
      <c r="C83" t="s">
        <v>206</v>
      </c>
      <c r="D83">
        <v>1</v>
      </c>
      <c r="E83">
        <f t="shared" si="2"/>
        <v>2.7600000000000002</v>
      </c>
      <c r="F83">
        <v>0.14000000000000001</v>
      </c>
      <c r="G83">
        <v>2.62</v>
      </c>
      <c r="H83">
        <f t="shared" si="1"/>
        <v>5.0724637681159424</v>
      </c>
      <c r="K83">
        <v>2.09</v>
      </c>
      <c r="L83">
        <v>8.75</v>
      </c>
      <c r="M83">
        <v>21.65</v>
      </c>
      <c r="N83">
        <v>34</v>
      </c>
      <c r="O83" t="s">
        <v>599</v>
      </c>
      <c r="P83" s="2" t="s">
        <v>600</v>
      </c>
      <c r="Q83" s="2" t="s">
        <v>561</v>
      </c>
      <c r="R83" s="2" t="s">
        <v>601</v>
      </c>
    </row>
    <row r="84" spans="1:18" ht="60" hidden="1" x14ac:dyDescent="0.25">
      <c r="A84" t="s">
        <v>207</v>
      </c>
      <c r="B84" t="s">
        <v>181</v>
      </c>
      <c r="C84" t="s">
        <v>208</v>
      </c>
      <c r="D84">
        <v>1</v>
      </c>
      <c r="E84">
        <f t="shared" si="2"/>
        <v>5.4700000000000006</v>
      </c>
      <c r="F84">
        <v>2.83</v>
      </c>
      <c r="G84">
        <v>2.64</v>
      </c>
      <c r="H84">
        <f t="shared" si="1"/>
        <v>51.736745886654475</v>
      </c>
      <c r="K84">
        <v>2.09</v>
      </c>
      <c r="L84">
        <v>8.75</v>
      </c>
      <c r="M84">
        <v>21.65</v>
      </c>
      <c r="N84">
        <v>34</v>
      </c>
      <c r="O84" t="s">
        <v>599</v>
      </c>
      <c r="P84" s="2" t="s">
        <v>600</v>
      </c>
      <c r="Q84" s="2" t="s">
        <v>561</v>
      </c>
      <c r="R84" s="2" t="s">
        <v>601</v>
      </c>
    </row>
    <row r="85" spans="1:18" ht="60" hidden="1" x14ac:dyDescent="0.25">
      <c r="A85" t="s">
        <v>209</v>
      </c>
      <c r="B85" t="s">
        <v>181</v>
      </c>
      <c r="C85" t="s">
        <v>210</v>
      </c>
      <c r="D85">
        <v>1</v>
      </c>
      <c r="E85">
        <f t="shared" si="2"/>
        <v>4.04</v>
      </c>
      <c r="F85">
        <v>1.36</v>
      </c>
      <c r="G85">
        <v>2.68</v>
      </c>
      <c r="H85">
        <f t="shared" si="1"/>
        <v>33.663366336633665</v>
      </c>
      <c r="K85">
        <v>2.09</v>
      </c>
      <c r="L85">
        <v>8.75</v>
      </c>
      <c r="M85">
        <v>21.65</v>
      </c>
      <c r="N85">
        <v>34</v>
      </c>
      <c r="O85" t="s">
        <v>599</v>
      </c>
      <c r="P85" s="2" t="s">
        <v>600</v>
      </c>
      <c r="Q85" s="2" t="s">
        <v>561</v>
      </c>
      <c r="R85" s="2" t="s">
        <v>601</v>
      </c>
    </row>
    <row r="86" spans="1:18" ht="60" hidden="1" x14ac:dyDescent="0.25">
      <c r="A86" t="s">
        <v>211</v>
      </c>
      <c r="B86" t="s">
        <v>181</v>
      </c>
      <c r="C86" t="s">
        <v>212</v>
      </c>
      <c r="D86">
        <v>1</v>
      </c>
      <c r="E86">
        <f t="shared" si="2"/>
        <v>3.93</v>
      </c>
      <c r="F86">
        <v>0.91</v>
      </c>
      <c r="G86">
        <v>3.02</v>
      </c>
      <c r="H86">
        <f t="shared" si="1"/>
        <v>23.155216284987276</v>
      </c>
      <c r="K86">
        <v>2.09</v>
      </c>
      <c r="L86">
        <v>8.75</v>
      </c>
      <c r="M86">
        <v>21.65</v>
      </c>
      <c r="N86">
        <v>34</v>
      </c>
      <c r="O86" t="s">
        <v>599</v>
      </c>
      <c r="P86" s="2" t="s">
        <v>600</v>
      </c>
      <c r="Q86" s="2" t="s">
        <v>561</v>
      </c>
      <c r="R86" s="2" t="s">
        <v>601</v>
      </c>
    </row>
    <row r="87" spans="1:18" ht="45" hidden="1" x14ac:dyDescent="0.25">
      <c r="A87" t="s">
        <v>213</v>
      </c>
      <c r="B87" t="s">
        <v>214</v>
      </c>
      <c r="C87" t="s">
        <v>215</v>
      </c>
      <c r="D87">
        <v>3</v>
      </c>
      <c r="E87">
        <v>6</v>
      </c>
      <c r="F87">
        <v>2.4</v>
      </c>
      <c r="G87">
        <v>3.6</v>
      </c>
      <c r="H87">
        <f t="shared" si="1"/>
        <v>40</v>
      </c>
      <c r="K87">
        <v>0.12</v>
      </c>
      <c r="L87">
        <v>8.3000000000000007</v>
      </c>
      <c r="M87">
        <v>8.1</v>
      </c>
      <c r="N87">
        <v>33.5</v>
      </c>
      <c r="O87" t="s">
        <v>599</v>
      </c>
      <c r="P87" s="2" t="s">
        <v>600</v>
      </c>
      <c r="Q87" s="2" t="s">
        <v>561</v>
      </c>
      <c r="R87" s="2" t="s">
        <v>602</v>
      </c>
    </row>
    <row r="88" spans="1:18" ht="45" hidden="1" x14ac:dyDescent="0.25">
      <c r="A88" t="s">
        <v>216</v>
      </c>
      <c r="B88" t="s">
        <v>217</v>
      </c>
      <c r="C88" t="s">
        <v>218</v>
      </c>
      <c r="D88">
        <v>1</v>
      </c>
      <c r="E88">
        <v>2.0659999999999998</v>
      </c>
      <c r="F88">
        <v>1.258</v>
      </c>
      <c r="G88">
        <v>0.80800000000000005</v>
      </c>
      <c r="H88">
        <f t="shared" si="1"/>
        <v>60.890609874152958</v>
      </c>
      <c r="I88">
        <v>0.622</v>
      </c>
      <c r="J88">
        <v>1.88</v>
      </c>
      <c r="K88">
        <v>0.38700000000000001</v>
      </c>
      <c r="L88">
        <v>7.75</v>
      </c>
      <c r="M88">
        <v>12.25</v>
      </c>
      <c r="N88">
        <v>66</v>
      </c>
      <c r="O88" t="s">
        <v>559</v>
      </c>
      <c r="P88" s="2" t="s">
        <v>560</v>
      </c>
      <c r="Q88" s="2" t="s">
        <v>554</v>
      </c>
      <c r="R88" s="2" t="s">
        <v>603</v>
      </c>
    </row>
    <row r="89" spans="1:18" ht="45" hidden="1" x14ac:dyDescent="0.25">
      <c r="A89" t="s">
        <v>219</v>
      </c>
      <c r="B89" t="s">
        <v>217</v>
      </c>
      <c r="C89" t="s">
        <v>220</v>
      </c>
      <c r="D89">
        <v>1</v>
      </c>
      <c r="E89">
        <v>2.0659999999999998</v>
      </c>
      <c r="F89">
        <v>1.45</v>
      </c>
      <c r="G89">
        <v>0.61599999999999999</v>
      </c>
      <c r="H89">
        <f t="shared" si="1"/>
        <v>70.183930300096804</v>
      </c>
      <c r="I89">
        <v>0.50900000000000001</v>
      </c>
      <c r="J89">
        <v>1.9590000000000001</v>
      </c>
      <c r="K89">
        <v>1.2E-2</v>
      </c>
      <c r="L89">
        <v>7.75</v>
      </c>
      <c r="M89">
        <v>9</v>
      </c>
      <c r="N89">
        <v>66</v>
      </c>
      <c r="O89" t="s">
        <v>559</v>
      </c>
      <c r="P89" s="2" t="s">
        <v>560</v>
      </c>
      <c r="Q89" s="2" t="s">
        <v>554</v>
      </c>
      <c r="R89" s="2" t="s">
        <v>603</v>
      </c>
    </row>
    <row r="90" spans="1:18" ht="45" hidden="1" x14ac:dyDescent="0.25">
      <c r="A90" t="s">
        <v>221</v>
      </c>
      <c r="B90" t="s">
        <v>217</v>
      </c>
      <c r="C90" t="s">
        <v>222</v>
      </c>
      <c r="D90">
        <v>1</v>
      </c>
      <c r="E90">
        <v>2.0659999999999998</v>
      </c>
      <c r="F90">
        <v>1.167</v>
      </c>
      <c r="G90">
        <v>0.89900000000000002</v>
      </c>
      <c r="H90">
        <f t="shared" si="1"/>
        <v>56.485963213939982</v>
      </c>
      <c r="I90">
        <v>0.39400000000000002</v>
      </c>
      <c r="J90">
        <v>1.56</v>
      </c>
      <c r="K90">
        <v>0.11700000000000001</v>
      </c>
      <c r="L90">
        <v>7.75</v>
      </c>
      <c r="M90">
        <v>9</v>
      </c>
      <c r="N90">
        <v>66</v>
      </c>
      <c r="O90" t="s">
        <v>559</v>
      </c>
      <c r="P90" s="2" t="s">
        <v>560</v>
      </c>
      <c r="Q90" s="2" t="s">
        <v>554</v>
      </c>
      <c r="R90" s="2" t="s">
        <v>603</v>
      </c>
    </row>
    <row r="91" spans="1:18" ht="45" hidden="1" x14ac:dyDescent="0.25">
      <c r="A91" t="s">
        <v>223</v>
      </c>
      <c r="B91" t="s">
        <v>217</v>
      </c>
      <c r="C91" t="s">
        <v>224</v>
      </c>
      <c r="D91">
        <v>1</v>
      </c>
      <c r="E91">
        <v>2.0659999999999998</v>
      </c>
      <c r="F91">
        <v>0.13200000000000001</v>
      </c>
      <c r="G91">
        <v>1.9339999999999999</v>
      </c>
      <c r="H91">
        <f t="shared" si="1"/>
        <v>6.3891577928364001</v>
      </c>
      <c r="I91">
        <v>1.948</v>
      </c>
      <c r="J91">
        <v>2.0819999999999999</v>
      </c>
      <c r="K91">
        <v>2.569</v>
      </c>
      <c r="L91">
        <v>7.75</v>
      </c>
      <c r="M91">
        <v>12.25</v>
      </c>
      <c r="N91">
        <v>66</v>
      </c>
      <c r="O91" t="s">
        <v>559</v>
      </c>
      <c r="P91" s="2" t="s">
        <v>560</v>
      </c>
      <c r="Q91" s="2" t="s">
        <v>554</v>
      </c>
      <c r="R91" s="2" t="s">
        <v>603</v>
      </c>
    </row>
    <row r="92" spans="1:18" ht="45" hidden="1" x14ac:dyDescent="0.25">
      <c r="A92" t="s">
        <v>225</v>
      </c>
      <c r="B92" t="s">
        <v>217</v>
      </c>
      <c r="C92" t="s">
        <v>226</v>
      </c>
      <c r="D92">
        <v>1</v>
      </c>
      <c r="E92">
        <v>2.0659999999999998</v>
      </c>
      <c r="F92">
        <v>0.38800000000000001</v>
      </c>
      <c r="G92">
        <v>1.6779999999999999</v>
      </c>
      <c r="H92">
        <f t="shared" si="1"/>
        <v>18.780251694094872</v>
      </c>
      <c r="I92">
        <v>0.16800000000000001</v>
      </c>
      <c r="J92">
        <v>0.55600000000000005</v>
      </c>
      <c r="K92">
        <v>0.42199999999999999</v>
      </c>
      <c r="L92">
        <v>7.75</v>
      </c>
      <c r="M92">
        <v>12.25</v>
      </c>
      <c r="N92">
        <v>66</v>
      </c>
      <c r="O92" t="s">
        <v>559</v>
      </c>
      <c r="P92" s="2" t="s">
        <v>560</v>
      </c>
      <c r="Q92" s="2" t="s">
        <v>554</v>
      </c>
      <c r="R92" s="2" t="s">
        <v>603</v>
      </c>
    </row>
    <row r="93" spans="1:18" ht="45" x14ac:dyDescent="0.25">
      <c r="A93" t="s">
        <v>227</v>
      </c>
      <c r="B93" t="s">
        <v>217</v>
      </c>
      <c r="C93" t="s">
        <v>228</v>
      </c>
      <c r="D93">
        <v>1</v>
      </c>
      <c r="E93">
        <v>2.0659999999999998</v>
      </c>
      <c r="F93">
        <v>3.1E-2</v>
      </c>
      <c r="G93">
        <v>2.0350000000000001</v>
      </c>
      <c r="H93">
        <f t="shared" si="1"/>
        <v>1.500484027105518</v>
      </c>
      <c r="I93">
        <v>1.5309999999999999</v>
      </c>
      <c r="J93">
        <v>1.5629999999999999</v>
      </c>
      <c r="K93">
        <v>0.48199999999999998</v>
      </c>
      <c r="L93">
        <v>7.75</v>
      </c>
      <c r="M93">
        <v>15.5</v>
      </c>
      <c r="N93">
        <v>66</v>
      </c>
      <c r="O93" t="s">
        <v>559</v>
      </c>
      <c r="P93" s="2" t="s">
        <v>560</v>
      </c>
      <c r="Q93" s="2" t="s">
        <v>554</v>
      </c>
      <c r="R93" s="2" t="s">
        <v>603</v>
      </c>
    </row>
    <row r="94" spans="1:18" ht="45" hidden="1" x14ac:dyDescent="0.25">
      <c r="A94" t="s">
        <v>229</v>
      </c>
      <c r="B94" t="s">
        <v>217</v>
      </c>
      <c r="C94" t="s">
        <v>230</v>
      </c>
      <c r="D94">
        <v>1</v>
      </c>
      <c r="E94">
        <v>2.0659999999999998</v>
      </c>
      <c r="F94">
        <v>0.32100000000000001</v>
      </c>
      <c r="G94">
        <v>1.7450000000000001</v>
      </c>
      <c r="H94">
        <f t="shared" si="1"/>
        <v>15.537270087124879</v>
      </c>
      <c r="I94">
        <v>1.3260000000000001</v>
      </c>
      <c r="J94">
        <v>1.647</v>
      </c>
      <c r="K94">
        <v>3.17</v>
      </c>
      <c r="L94">
        <v>7.75</v>
      </c>
      <c r="M94">
        <v>15.5</v>
      </c>
      <c r="N94">
        <v>66</v>
      </c>
      <c r="O94" t="s">
        <v>559</v>
      </c>
      <c r="P94" s="2" t="s">
        <v>560</v>
      </c>
      <c r="Q94" s="2" t="s">
        <v>554</v>
      </c>
      <c r="R94" s="2" t="s">
        <v>603</v>
      </c>
    </row>
    <row r="95" spans="1:18" ht="45" hidden="1" x14ac:dyDescent="0.25">
      <c r="A95" t="s">
        <v>231</v>
      </c>
      <c r="B95" t="s">
        <v>217</v>
      </c>
      <c r="C95" t="s">
        <v>232</v>
      </c>
      <c r="D95">
        <v>1</v>
      </c>
      <c r="E95">
        <v>2.0659999999999998</v>
      </c>
      <c r="F95">
        <v>0.66300000000000003</v>
      </c>
      <c r="G95">
        <v>1.403</v>
      </c>
      <c r="H95">
        <f t="shared" si="1"/>
        <v>32.090997095837373</v>
      </c>
      <c r="I95">
        <v>0.73399999999999999</v>
      </c>
      <c r="J95">
        <v>1.397</v>
      </c>
      <c r="K95">
        <v>2.3490000000000002</v>
      </c>
      <c r="L95">
        <v>7.75</v>
      </c>
      <c r="M95">
        <v>15.5</v>
      </c>
      <c r="N95">
        <v>66</v>
      </c>
      <c r="O95" t="s">
        <v>559</v>
      </c>
      <c r="P95" s="2" t="s">
        <v>560</v>
      </c>
      <c r="Q95" s="2" t="s">
        <v>554</v>
      </c>
      <c r="R95" s="2" t="s">
        <v>603</v>
      </c>
    </row>
  </sheetData>
  <autoFilter ref="A1:R95" xr:uid="{00000000-0009-0000-0000-000000000000}">
    <filterColumn colId="7">
      <filters>
        <filter val="1.500484027"/>
        <filter val="3.436830835"/>
        <filter val="3.598484848"/>
      </filters>
    </filterColumn>
  </autoFilter>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96"/>
  <sheetViews>
    <sheetView workbookViewId="0">
      <pane ySplit="1" topLeftCell="A2" activePane="bottomLeft" state="frozen"/>
      <selection pane="bottomLeft" activeCell="A2" sqref="A2"/>
    </sheetView>
  </sheetViews>
  <sheetFormatPr defaultColWidth="11.42578125" defaultRowHeight="15" x14ac:dyDescent="0.25"/>
  <cols>
    <col min="1" max="1" width="6.7109375" customWidth="1"/>
    <col min="2" max="2" width="28.7109375" customWidth="1"/>
    <col min="3" max="3" width="69.42578125" customWidth="1"/>
    <col min="4" max="4" width="29.42578125" customWidth="1"/>
    <col min="5" max="5" width="40.7109375" customWidth="1"/>
    <col min="6" max="6" width="70.7109375" customWidth="1"/>
    <col min="7" max="8" width="18.7109375" customWidth="1"/>
    <col min="9" max="9" width="60.7109375" customWidth="1"/>
    <col min="10" max="10" width="9.7109375" customWidth="1"/>
    <col min="11" max="11" width="16.7109375" customWidth="1"/>
    <col min="12" max="13" width="20.7109375" customWidth="1"/>
    <col min="14" max="14" width="40.7109375" customWidth="1"/>
    <col min="15" max="15" width="12.7109375" customWidth="1"/>
    <col min="16" max="16" width="18.7109375" customWidth="1"/>
    <col min="17" max="17" width="60.7109375" customWidth="1"/>
    <col min="18" max="18" width="70.7109375" customWidth="1"/>
    <col min="19" max="19" width="18.7109375" customWidth="1"/>
    <col min="20" max="20" width="13.7109375" customWidth="1"/>
    <col min="21" max="21" width="17.7109375" customWidth="1"/>
    <col min="22" max="22" width="11.7109375" customWidth="1"/>
  </cols>
  <sheetData>
    <row r="1" spans="1:22" ht="30" x14ac:dyDescent="0.25">
      <c r="A1" s="1" t="s">
        <v>0</v>
      </c>
      <c r="B1" s="1" t="s">
        <v>1</v>
      </c>
      <c r="C1" s="1" t="s">
        <v>2</v>
      </c>
      <c r="D1" s="1" t="s">
        <v>233</v>
      </c>
      <c r="E1" s="1" t="s">
        <v>234</v>
      </c>
      <c r="F1" s="1" t="s">
        <v>235</v>
      </c>
      <c r="G1" s="1" t="s">
        <v>236</v>
      </c>
      <c r="H1" s="1" t="s">
        <v>237</v>
      </c>
      <c r="I1" s="1" t="s">
        <v>238</v>
      </c>
      <c r="J1" s="1" t="s">
        <v>239</v>
      </c>
      <c r="K1" s="1" t="s">
        <v>240</v>
      </c>
      <c r="L1" s="1" t="s">
        <v>241</v>
      </c>
      <c r="M1" s="1" t="s">
        <v>242</v>
      </c>
      <c r="N1" s="1" t="s">
        <v>243</v>
      </c>
      <c r="O1" s="1" t="s">
        <v>244</v>
      </c>
      <c r="P1" s="1" t="s">
        <v>245</v>
      </c>
      <c r="Q1" s="1" t="s">
        <v>246</v>
      </c>
      <c r="R1" s="1" t="s">
        <v>247</v>
      </c>
      <c r="S1" s="1" t="s">
        <v>248</v>
      </c>
      <c r="T1" s="1" t="s">
        <v>249</v>
      </c>
      <c r="U1" s="1" t="s">
        <v>250</v>
      </c>
      <c r="V1" s="1" t="s">
        <v>3</v>
      </c>
    </row>
    <row r="2" spans="1:22" ht="315" x14ac:dyDescent="0.25">
      <c r="A2" t="s">
        <v>14</v>
      </c>
      <c r="B2" t="s">
        <v>15</v>
      </c>
      <c r="C2" t="s">
        <v>16</v>
      </c>
      <c r="D2" t="s">
        <v>251</v>
      </c>
      <c r="E2" s="2" t="s">
        <v>252</v>
      </c>
      <c r="F2" s="2" t="s">
        <v>253</v>
      </c>
      <c r="G2" t="s">
        <v>254</v>
      </c>
      <c r="H2" t="s">
        <v>255</v>
      </c>
      <c r="I2" s="2" t="s">
        <v>256</v>
      </c>
      <c r="J2">
        <v>1</v>
      </c>
      <c r="K2" t="s">
        <v>257</v>
      </c>
      <c r="O2" t="b">
        <v>0</v>
      </c>
      <c r="P2" t="s">
        <v>258</v>
      </c>
      <c r="Q2" s="2" t="s">
        <v>259</v>
      </c>
      <c r="R2" s="2" t="s">
        <v>260</v>
      </c>
      <c r="S2" t="s">
        <v>261</v>
      </c>
      <c r="T2" t="s">
        <v>262</v>
      </c>
      <c r="U2">
        <v>1</v>
      </c>
      <c r="V2">
        <v>1</v>
      </c>
    </row>
    <row r="3" spans="1:22" ht="285" x14ac:dyDescent="0.25">
      <c r="A3" t="s">
        <v>17</v>
      </c>
      <c r="B3" t="s">
        <v>15</v>
      </c>
      <c r="C3" t="s">
        <v>18</v>
      </c>
      <c r="D3" t="s">
        <v>251</v>
      </c>
      <c r="E3" s="2" t="s">
        <v>252</v>
      </c>
      <c r="F3" s="2" t="s">
        <v>253</v>
      </c>
      <c r="G3" t="s">
        <v>254</v>
      </c>
      <c r="H3" t="s">
        <v>255</v>
      </c>
      <c r="I3" s="2" t="s">
        <v>256</v>
      </c>
      <c r="K3" t="s">
        <v>257</v>
      </c>
      <c r="O3" t="b">
        <v>0</v>
      </c>
      <c r="P3" t="s">
        <v>263</v>
      </c>
      <c r="Q3" s="2" t="s">
        <v>255</v>
      </c>
      <c r="R3" s="2" t="s">
        <v>264</v>
      </c>
      <c r="S3" t="s">
        <v>261</v>
      </c>
      <c r="T3" t="s">
        <v>262</v>
      </c>
      <c r="U3">
        <v>1</v>
      </c>
      <c r="V3">
        <v>1</v>
      </c>
    </row>
    <row r="4" spans="1:22" ht="285" x14ac:dyDescent="0.25">
      <c r="A4" t="s">
        <v>19</v>
      </c>
      <c r="B4" t="s">
        <v>15</v>
      </c>
      <c r="C4" t="s">
        <v>20</v>
      </c>
      <c r="D4" t="s">
        <v>251</v>
      </c>
      <c r="E4" s="2" t="s">
        <v>252</v>
      </c>
      <c r="F4" s="2" t="s">
        <v>253</v>
      </c>
      <c r="G4" t="s">
        <v>254</v>
      </c>
      <c r="H4" t="s">
        <v>255</v>
      </c>
      <c r="I4" s="2" t="s">
        <v>256</v>
      </c>
      <c r="K4" t="s">
        <v>257</v>
      </c>
      <c r="O4" t="b">
        <v>0</v>
      </c>
      <c r="P4" t="s">
        <v>263</v>
      </c>
      <c r="Q4" s="2" t="s">
        <v>255</v>
      </c>
      <c r="R4" s="2" t="s">
        <v>265</v>
      </c>
      <c r="S4" t="s">
        <v>261</v>
      </c>
      <c r="T4" t="s">
        <v>262</v>
      </c>
      <c r="U4">
        <v>1</v>
      </c>
      <c r="V4">
        <v>1</v>
      </c>
    </row>
    <row r="5" spans="1:22" ht="285" x14ac:dyDescent="0.25">
      <c r="A5" t="s">
        <v>21</v>
      </c>
      <c r="B5" t="s">
        <v>15</v>
      </c>
      <c r="C5" t="s">
        <v>22</v>
      </c>
      <c r="D5" t="s">
        <v>251</v>
      </c>
      <c r="E5" s="2" t="s">
        <v>252</v>
      </c>
      <c r="F5" s="2" t="s">
        <v>253</v>
      </c>
      <c r="G5" t="s">
        <v>254</v>
      </c>
      <c r="H5" t="s">
        <v>255</v>
      </c>
      <c r="I5" s="2" t="s">
        <v>256</v>
      </c>
      <c r="K5" t="s">
        <v>257</v>
      </c>
      <c r="O5" t="b">
        <v>0</v>
      </c>
      <c r="P5" t="s">
        <v>263</v>
      </c>
      <c r="Q5" s="2" t="s">
        <v>255</v>
      </c>
      <c r="R5" s="2" t="s">
        <v>266</v>
      </c>
      <c r="S5" t="s">
        <v>261</v>
      </c>
      <c r="T5" t="s">
        <v>262</v>
      </c>
      <c r="U5">
        <v>1</v>
      </c>
      <c r="V5">
        <v>1</v>
      </c>
    </row>
    <row r="6" spans="1:22" ht="300" x14ac:dyDescent="0.25">
      <c r="A6" t="s">
        <v>23</v>
      </c>
      <c r="B6" t="s">
        <v>15</v>
      </c>
      <c r="C6" t="s">
        <v>24</v>
      </c>
      <c r="D6" t="s">
        <v>251</v>
      </c>
      <c r="E6" s="2" t="s">
        <v>252</v>
      </c>
      <c r="F6" s="2" t="s">
        <v>253</v>
      </c>
      <c r="G6" t="s">
        <v>254</v>
      </c>
      <c r="H6" t="s">
        <v>255</v>
      </c>
      <c r="I6" s="2" t="s">
        <v>256</v>
      </c>
      <c r="K6" t="s">
        <v>257</v>
      </c>
      <c r="O6" t="b">
        <v>0</v>
      </c>
      <c r="P6" t="s">
        <v>263</v>
      </c>
      <c r="Q6" s="2" t="s">
        <v>255</v>
      </c>
      <c r="R6" s="2" t="s">
        <v>267</v>
      </c>
      <c r="S6" t="s">
        <v>261</v>
      </c>
      <c r="T6" t="s">
        <v>262</v>
      </c>
      <c r="U6">
        <v>1</v>
      </c>
      <c r="V6">
        <v>1</v>
      </c>
    </row>
    <row r="7" spans="1:22" ht="300" x14ac:dyDescent="0.25">
      <c r="A7" t="s">
        <v>25</v>
      </c>
      <c r="B7" t="s">
        <v>26</v>
      </c>
      <c r="C7" t="s">
        <v>27</v>
      </c>
      <c r="D7" t="s">
        <v>268</v>
      </c>
      <c r="E7" s="2" t="s">
        <v>269</v>
      </c>
      <c r="F7" s="2" t="s">
        <v>270</v>
      </c>
      <c r="G7" t="s">
        <v>271</v>
      </c>
      <c r="H7" t="s">
        <v>272</v>
      </c>
      <c r="I7" s="2" t="s">
        <v>273</v>
      </c>
      <c r="K7" t="s">
        <v>257</v>
      </c>
      <c r="O7" t="b">
        <v>0</v>
      </c>
      <c r="P7" t="s">
        <v>258</v>
      </c>
      <c r="Q7" s="2" t="s">
        <v>274</v>
      </c>
      <c r="R7" s="2" t="s">
        <v>275</v>
      </c>
      <c r="S7" t="s">
        <v>261</v>
      </c>
      <c r="T7" t="s">
        <v>262</v>
      </c>
      <c r="U7">
        <v>1</v>
      </c>
      <c r="V7">
        <v>1</v>
      </c>
    </row>
    <row r="8" spans="1:22" ht="285" x14ac:dyDescent="0.25">
      <c r="A8" t="s">
        <v>28</v>
      </c>
      <c r="B8" t="s">
        <v>26</v>
      </c>
      <c r="C8" t="s">
        <v>29</v>
      </c>
      <c r="D8" t="s">
        <v>268</v>
      </c>
      <c r="E8" s="2" t="s">
        <v>269</v>
      </c>
      <c r="F8" s="2" t="s">
        <v>270</v>
      </c>
      <c r="G8" t="s">
        <v>271</v>
      </c>
      <c r="H8" t="s">
        <v>272</v>
      </c>
      <c r="I8" s="2" t="s">
        <v>273</v>
      </c>
      <c r="J8">
        <v>1</v>
      </c>
      <c r="K8" t="s">
        <v>257</v>
      </c>
      <c r="O8" t="b">
        <v>0</v>
      </c>
      <c r="P8" t="s">
        <v>258</v>
      </c>
      <c r="Q8" s="2" t="s">
        <v>276</v>
      </c>
      <c r="R8" s="2" t="s">
        <v>277</v>
      </c>
      <c r="S8" t="s">
        <v>261</v>
      </c>
      <c r="T8" t="s">
        <v>262</v>
      </c>
      <c r="U8">
        <v>1</v>
      </c>
      <c r="V8">
        <v>1</v>
      </c>
    </row>
    <row r="9" spans="1:22" ht="285" x14ac:dyDescent="0.25">
      <c r="A9" t="s">
        <v>30</v>
      </c>
      <c r="B9" t="s">
        <v>26</v>
      </c>
      <c r="C9" t="s">
        <v>31</v>
      </c>
      <c r="D9" t="s">
        <v>268</v>
      </c>
      <c r="E9" s="2" t="s">
        <v>269</v>
      </c>
      <c r="F9" s="2" t="s">
        <v>270</v>
      </c>
      <c r="G9" t="s">
        <v>271</v>
      </c>
      <c r="H9" t="s">
        <v>272</v>
      </c>
      <c r="I9" s="2" t="s">
        <v>273</v>
      </c>
      <c r="K9" t="s">
        <v>257</v>
      </c>
      <c r="O9" t="b">
        <v>0</v>
      </c>
      <c r="P9" t="s">
        <v>258</v>
      </c>
      <c r="Q9" s="2" t="s">
        <v>274</v>
      </c>
      <c r="R9" s="2" t="s">
        <v>278</v>
      </c>
      <c r="S9" t="s">
        <v>261</v>
      </c>
      <c r="T9" t="s">
        <v>262</v>
      </c>
      <c r="U9">
        <v>1</v>
      </c>
      <c r="V9">
        <v>1</v>
      </c>
    </row>
    <row r="10" spans="1:22" ht="300" x14ac:dyDescent="0.25">
      <c r="A10" t="s">
        <v>32</v>
      </c>
      <c r="B10" t="s">
        <v>26</v>
      </c>
      <c r="C10" t="s">
        <v>33</v>
      </c>
      <c r="D10" t="s">
        <v>268</v>
      </c>
      <c r="E10" s="2" t="s">
        <v>269</v>
      </c>
      <c r="F10" s="2" t="s">
        <v>270</v>
      </c>
      <c r="G10" t="s">
        <v>271</v>
      </c>
      <c r="H10" t="s">
        <v>272</v>
      </c>
      <c r="I10" s="2" t="s">
        <v>273</v>
      </c>
      <c r="J10">
        <v>1</v>
      </c>
      <c r="K10" t="s">
        <v>257</v>
      </c>
      <c r="O10" t="b">
        <v>0</v>
      </c>
      <c r="P10" t="s">
        <v>258</v>
      </c>
      <c r="Q10" s="2" t="s">
        <v>279</v>
      </c>
      <c r="R10" s="2" t="s">
        <v>280</v>
      </c>
      <c r="S10" t="s">
        <v>261</v>
      </c>
      <c r="T10" t="s">
        <v>262</v>
      </c>
      <c r="U10">
        <v>1</v>
      </c>
      <c r="V10">
        <v>1</v>
      </c>
    </row>
    <row r="11" spans="1:22" ht="285" x14ac:dyDescent="0.25">
      <c r="A11" t="s">
        <v>34</v>
      </c>
      <c r="B11" t="s">
        <v>26</v>
      </c>
      <c r="C11" t="s">
        <v>35</v>
      </c>
      <c r="D11" t="s">
        <v>268</v>
      </c>
      <c r="E11" s="2" t="s">
        <v>269</v>
      </c>
      <c r="F11" s="2" t="s">
        <v>270</v>
      </c>
      <c r="G11" t="s">
        <v>271</v>
      </c>
      <c r="H11" t="s">
        <v>272</v>
      </c>
      <c r="I11" s="2" t="s">
        <v>273</v>
      </c>
      <c r="J11">
        <v>1</v>
      </c>
      <c r="K11" t="s">
        <v>257</v>
      </c>
      <c r="O11" t="b">
        <v>0</v>
      </c>
      <c r="P11" t="s">
        <v>258</v>
      </c>
      <c r="Q11" s="2" t="s">
        <v>281</v>
      </c>
      <c r="R11" s="2" t="s">
        <v>282</v>
      </c>
      <c r="S11" t="s">
        <v>261</v>
      </c>
      <c r="T11" t="s">
        <v>262</v>
      </c>
      <c r="U11">
        <v>1</v>
      </c>
      <c r="V11">
        <v>1</v>
      </c>
    </row>
    <row r="12" spans="1:22" ht="300" x14ac:dyDescent="0.25">
      <c r="A12" t="s">
        <v>36</v>
      </c>
      <c r="B12" t="s">
        <v>26</v>
      </c>
      <c r="C12" t="s">
        <v>37</v>
      </c>
      <c r="D12" t="s">
        <v>268</v>
      </c>
      <c r="E12" s="2" t="s">
        <v>269</v>
      </c>
      <c r="F12" s="2" t="s">
        <v>270</v>
      </c>
      <c r="G12" t="s">
        <v>271</v>
      </c>
      <c r="H12" t="s">
        <v>272</v>
      </c>
      <c r="I12" s="2" t="s">
        <v>273</v>
      </c>
      <c r="K12" t="s">
        <v>257</v>
      </c>
      <c r="O12" t="b">
        <v>0</v>
      </c>
      <c r="P12" t="s">
        <v>258</v>
      </c>
      <c r="Q12" s="2" t="s">
        <v>274</v>
      </c>
      <c r="R12" s="2" t="s">
        <v>283</v>
      </c>
      <c r="S12" t="s">
        <v>261</v>
      </c>
      <c r="T12" t="s">
        <v>262</v>
      </c>
      <c r="U12">
        <v>1</v>
      </c>
      <c r="V12">
        <v>1</v>
      </c>
    </row>
    <row r="13" spans="1:22" ht="315" x14ac:dyDescent="0.25">
      <c r="A13" t="s">
        <v>38</v>
      </c>
      <c r="B13" t="s">
        <v>26</v>
      </c>
      <c r="C13" t="s">
        <v>39</v>
      </c>
      <c r="D13" t="s">
        <v>268</v>
      </c>
      <c r="E13" s="2" t="s">
        <v>269</v>
      </c>
      <c r="F13" s="2" t="s">
        <v>270</v>
      </c>
      <c r="G13" t="s">
        <v>271</v>
      </c>
      <c r="H13" t="s">
        <v>272</v>
      </c>
      <c r="I13" s="2" t="s">
        <v>273</v>
      </c>
      <c r="J13">
        <v>1</v>
      </c>
      <c r="K13" t="s">
        <v>257</v>
      </c>
      <c r="O13" t="b">
        <v>0</v>
      </c>
      <c r="P13" t="s">
        <v>258</v>
      </c>
      <c r="Q13" s="2" t="s">
        <v>284</v>
      </c>
      <c r="R13" s="2" t="s">
        <v>285</v>
      </c>
      <c r="S13" t="s">
        <v>261</v>
      </c>
      <c r="T13" t="s">
        <v>262</v>
      </c>
      <c r="U13">
        <v>1</v>
      </c>
      <c r="V13">
        <v>1</v>
      </c>
    </row>
    <row r="14" spans="1:22" ht="105" x14ac:dyDescent="0.25">
      <c r="A14" t="s">
        <v>40</v>
      </c>
      <c r="B14" t="s">
        <v>41</v>
      </c>
      <c r="C14" t="s">
        <v>42</v>
      </c>
      <c r="D14" t="s">
        <v>286</v>
      </c>
      <c r="E14" s="2" t="s">
        <v>287</v>
      </c>
      <c r="F14" s="2" t="s">
        <v>288</v>
      </c>
      <c r="G14" t="s">
        <v>289</v>
      </c>
      <c r="H14" t="s">
        <v>290</v>
      </c>
      <c r="I14" s="2" t="s">
        <v>291</v>
      </c>
      <c r="K14" t="s">
        <v>292</v>
      </c>
      <c r="L14">
        <v>57.3</v>
      </c>
      <c r="M14">
        <v>25.2</v>
      </c>
      <c r="N14" s="2" t="s">
        <v>293</v>
      </c>
      <c r="O14" t="b">
        <v>1</v>
      </c>
      <c r="P14" t="s">
        <v>294</v>
      </c>
      <c r="Q14" s="2" t="s">
        <v>295</v>
      </c>
      <c r="R14" s="2" t="s">
        <v>296</v>
      </c>
      <c r="S14" t="s">
        <v>297</v>
      </c>
      <c r="T14" t="s">
        <v>262</v>
      </c>
      <c r="U14">
        <v>1</v>
      </c>
      <c r="V14">
        <v>1</v>
      </c>
    </row>
    <row r="15" spans="1:22" ht="105" x14ac:dyDescent="0.25">
      <c r="A15" t="s">
        <v>43</v>
      </c>
      <c r="B15" t="s">
        <v>41</v>
      </c>
      <c r="C15" t="s">
        <v>44</v>
      </c>
      <c r="D15" t="s">
        <v>286</v>
      </c>
      <c r="E15" s="2" t="s">
        <v>287</v>
      </c>
      <c r="F15" s="2" t="s">
        <v>288</v>
      </c>
      <c r="G15" t="s">
        <v>289</v>
      </c>
      <c r="H15" t="s">
        <v>290</v>
      </c>
      <c r="I15" s="2" t="s">
        <v>291</v>
      </c>
      <c r="K15" t="s">
        <v>292</v>
      </c>
      <c r="L15">
        <v>50.8</v>
      </c>
      <c r="M15">
        <v>4.4000000000000004</v>
      </c>
      <c r="N15" s="2" t="s">
        <v>293</v>
      </c>
      <c r="O15" t="b">
        <v>1</v>
      </c>
      <c r="P15" t="s">
        <v>294</v>
      </c>
      <c r="Q15" s="2" t="s">
        <v>298</v>
      </c>
      <c r="R15" s="2" t="s">
        <v>299</v>
      </c>
      <c r="S15" t="s">
        <v>297</v>
      </c>
      <c r="T15" t="s">
        <v>262</v>
      </c>
      <c r="U15">
        <v>1</v>
      </c>
      <c r="V15">
        <v>1</v>
      </c>
    </row>
    <row r="16" spans="1:22" ht="409.5" x14ac:dyDescent="0.25">
      <c r="A16" t="s">
        <v>45</v>
      </c>
      <c r="B16" t="s">
        <v>46</v>
      </c>
      <c r="C16" t="s">
        <v>47</v>
      </c>
      <c r="D16" t="s">
        <v>300</v>
      </c>
      <c r="E16" s="2" t="s">
        <v>301</v>
      </c>
      <c r="F16" s="2" t="s">
        <v>302</v>
      </c>
      <c r="G16" t="s">
        <v>255</v>
      </c>
      <c r="H16" t="s">
        <v>255</v>
      </c>
      <c r="I16" s="2" t="s">
        <v>303</v>
      </c>
      <c r="J16">
        <v>1</v>
      </c>
      <c r="K16" t="s">
        <v>304</v>
      </c>
      <c r="N16" s="2" t="s">
        <v>305</v>
      </c>
      <c r="O16" t="b">
        <v>0</v>
      </c>
      <c r="P16" t="s">
        <v>294</v>
      </c>
      <c r="Q16" s="2" t="s">
        <v>306</v>
      </c>
      <c r="R16" s="2" t="s">
        <v>307</v>
      </c>
      <c r="S16" t="s">
        <v>261</v>
      </c>
      <c r="T16" t="s">
        <v>308</v>
      </c>
      <c r="U16">
        <v>1</v>
      </c>
      <c r="V16">
        <v>1</v>
      </c>
    </row>
    <row r="17" spans="1:22" ht="210" x14ac:dyDescent="0.25">
      <c r="A17" t="s">
        <v>48</v>
      </c>
      <c r="B17" t="s">
        <v>49</v>
      </c>
      <c r="C17" t="s">
        <v>50</v>
      </c>
      <c r="D17" t="s">
        <v>309</v>
      </c>
      <c r="E17" s="2" t="s">
        <v>310</v>
      </c>
      <c r="F17" s="2" t="s">
        <v>311</v>
      </c>
      <c r="G17" t="s">
        <v>289</v>
      </c>
      <c r="H17" t="s">
        <v>272</v>
      </c>
      <c r="I17" s="2" t="s">
        <v>312</v>
      </c>
      <c r="J17">
        <v>0.8</v>
      </c>
      <c r="K17" t="s">
        <v>313</v>
      </c>
      <c r="N17" s="2" t="s">
        <v>314</v>
      </c>
      <c r="O17" t="b">
        <v>0</v>
      </c>
      <c r="P17" t="s">
        <v>294</v>
      </c>
      <c r="Q17" s="2" t="s">
        <v>315</v>
      </c>
      <c r="R17" s="2" t="s">
        <v>316</v>
      </c>
      <c r="S17" t="s">
        <v>261</v>
      </c>
      <c r="T17" t="s">
        <v>308</v>
      </c>
      <c r="U17">
        <v>1</v>
      </c>
      <c r="V17">
        <v>1</v>
      </c>
    </row>
    <row r="18" spans="1:22" ht="210" x14ac:dyDescent="0.25">
      <c r="A18" t="s">
        <v>51</v>
      </c>
      <c r="B18" t="s">
        <v>49</v>
      </c>
      <c r="C18" t="s">
        <v>52</v>
      </c>
      <c r="D18" t="s">
        <v>309</v>
      </c>
      <c r="E18" s="2" t="s">
        <v>310</v>
      </c>
      <c r="F18" s="2" t="s">
        <v>311</v>
      </c>
      <c r="G18" t="s">
        <v>289</v>
      </c>
      <c r="H18" t="s">
        <v>272</v>
      </c>
      <c r="I18" s="2" t="s">
        <v>312</v>
      </c>
      <c r="J18">
        <v>0.8</v>
      </c>
      <c r="K18" t="s">
        <v>313</v>
      </c>
      <c r="N18" s="2" t="s">
        <v>314</v>
      </c>
      <c r="O18" t="b">
        <v>0</v>
      </c>
      <c r="P18" t="s">
        <v>294</v>
      </c>
      <c r="Q18" s="2" t="s">
        <v>315</v>
      </c>
      <c r="R18" s="2" t="s">
        <v>316</v>
      </c>
      <c r="S18" t="s">
        <v>261</v>
      </c>
      <c r="T18" t="s">
        <v>308</v>
      </c>
      <c r="U18">
        <v>1</v>
      </c>
      <c r="V18">
        <v>1</v>
      </c>
    </row>
    <row r="19" spans="1:22" ht="180" x14ac:dyDescent="0.25">
      <c r="A19" t="s">
        <v>53</v>
      </c>
      <c r="B19" t="s">
        <v>49</v>
      </c>
      <c r="C19" t="s">
        <v>54</v>
      </c>
      <c r="D19" t="s">
        <v>309</v>
      </c>
      <c r="E19" s="2" t="s">
        <v>317</v>
      </c>
      <c r="F19" s="2" t="s">
        <v>318</v>
      </c>
      <c r="G19" t="s">
        <v>289</v>
      </c>
      <c r="H19" t="s">
        <v>290</v>
      </c>
      <c r="I19" s="2" t="s">
        <v>319</v>
      </c>
      <c r="K19" t="s">
        <v>320</v>
      </c>
      <c r="L19">
        <v>64</v>
      </c>
      <c r="N19" s="2" t="s">
        <v>321</v>
      </c>
      <c r="O19" t="b">
        <v>1</v>
      </c>
      <c r="P19" t="s">
        <v>294</v>
      </c>
      <c r="Q19" s="2" t="s">
        <v>322</v>
      </c>
      <c r="R19" s="2" t="s">
        <v>323</v>
      </c>
      <c r="S19" t="s">
        <v>261</v>
      </c>
      <c r="T19" t="s">
        <v>262</v>
      </c>
      <c r="U19">
        <v>1</v>
      </c>
      <c r="V19">
        <v>6</v>
      </c>
    </row>
    <row r="20" spans="1:22" ht="210" x14ac:dyDescent="0.25">
      <c r="A20" t="s">
        <v>55</v>
      </c>
      <c r="B20" t="s">
        <v>49</v>
      </c>
      <c r="C20" t="s">
        <v>56</v>
      </c>
      <c r="D20" t="s">
        <v>309</v>
      </c>
      <c r="E20" s="2" t="s">
        <v>310</v>
      </c>
      <c r="F20" s="2" t="s">
        <v>311</v>
      </c>
      <c r="G20" t="s">
        <v>289</v>
      </c>
      <c r="H20" t="s">
        <v>272</v>
      </c>
      <c r="I20" s="2" t="s">
        <v>312</v>
      </c>
      <c r="J20">
        <v>0.8</v>
      </c>
      <c r="K20" t="s">
        <v>313</v>
      </c>
      <c r="N20" s="2" t="s">
        <v>314</v>
      </c>
      <c r="O20" t="b">
        <v>0</v>
      </c>
      <c r="P20" t="s">
        <v>294</v>
      </c>
      <c r="Q20" s="2" t="s">
        <v>315</v>
      </c>
      <c r="R20" s="2" t="s">
        <v>316</v>
      </c>
      <c r="S20" t="s">
        <v>261</v>
      </c>
      <c r="T20" t="s">
        <v>308</v>
      </c>
      <c r="U20">
        <v>1</v>
      </c>
      <c r="V20">
        <v>1</v>
      </c>
    </row>
    <row r="21" spans="1:22" ht="210" x14ac:dyDescent="0.25">
      <c r="A21" t="s">
        <v>57</v>
      </c>
      <c r="B21" t="s">
        <v>49</v>
      </c>
      <c r="C21" t="s">
        <v>58</v>
      </c>
      <c r="D21" t="s">
        <v>309</v>
      </c>
      <c r="E21" s="2" t="s">
        <v>310</v>
      </c>
      <c r="F21" s="2" t="s">
        <v>311</v>
      </c>
      <c r="G21" t="s">
        <v>289</v>
      </c>
      <c r="H21" t="s">
        <v>272</v>
      </c>
      <c r="I21" s="2" t="s">
        <v>312</v>
      </c>
      <c r="J21">
        <v>0.8</v>
      </c>
      <c r="K21" t="s">
        <v>313</v>
      </c>
      <c r="N21" s="2" t="s">
        <v>314</v>
      </c>
      <c r="O21" t="b">
        <v>0</v>
      </c>
      <c r="P21" t="s">
        <v>294</v>
      </c>
      <c r="Q21" s="2" t="s">
        <v>315</v>
      </c>
      <c r="R21" s="2" t="s">
        <v>316</v>
      </c>
      <c r="S21" t="s">
        <v>261</v>
      </c>
      <c r="T21" t="s">
        <v>308</v>
      </c>
      <c r="U21">
        <v>1</v>
      </c>
      <c r="V21">
        <v>1</v>
      </c>
    </row>
    <row r="22" spans="1:22" ht="210" x14ac:dyDescent="0.25">
      <c r="A22" t="s">
        <v>59</v>
      </c>
      <c r="B22" t="s">
        <v>49</v>
      </c>
      <c r="C22" t="s">
        <v>60</v>
      </c>
      <c r="D22" t="s">
        <v>309</v>
      </c>
      <c r="E22" s="2" t="s">
        <v>310</v>
      </c>
      <c r="F22" s="2" t="s">
        <v>311</v>
      </c>
      <c r="G22" t="s">
        <v>289</v>
      </c>
      <c r="H22" t="s">
        <v>272</v>
      </c>
      <c r="I22" s="2" t="s">
        <v>312</v>
      </c>
      <c r="J22">
        <v>0.8</v>
      </c>
      <c r="K22" t="s">
        <v>313</v>
      </c>
      <c r="N22" s="2" t="s">
        <v>314</v>
      </c>
      <c r="O22" t="b">
        <v>0</v>
      </c>
      <c r="P22" t="s">
        <v>294</v>
      </c>
      <c r="Q22" s="2" t="s">
        <v>315</v>
      </c>
      <c r="R22" s="2" t="s">
        <v>316</v>
      </c>
      <c r="S22" t="s">
        <v>261</v>
      </c>
      <c r="T22" t="s">
        <v>308</v>
      </c>
      <c r="U22">
        <v>1</v>
      </c>
      <c r="V22">
        <v>1</v>
      </c>
    </row>
    <row r="23" spans="1:22" ht="210" x14ac:dyDescent="0.25">
      <c r="A23" t="s">
        <v>61</v>
      </c>
      <c r="B23" t="s">
        <v>49</v>
      </c>
      <c r="C23" t="s">
        <v>62</v>
      </c>
      <c r="D23" t="s">
        <v>309</v>
      </c>
      <c r="E23" s="2" t="s">
        <v>310</v>
      </c>
      <c r="F23" s="2" t="s">
        <v>311</v>
      </c>
      <c r="G23" t="s">
        <v>289</v>
      </c>
      <c r="H23" t="s">
        <v>272</v>
      </c>
      <c r="I23" s="2" t="s">
        <v>312</v>
      </c>
      <c r="J23">
        <v>0.8</v>
      </c>
      <c r="K23" t="s">
        <v>313</v>
      </c>
      <c r="N23" s="2" t="s">
        <v>314</v>
      </c>
      <c r="O23" t="b">
        <v>0</v>
      </c>
      <c r="P23" t="s">
        <v>294</v>
      </c>
      <c r="Q23" s="2" t="s">
        <v>315</v>
      </c>
      <c r="R23" s="2" t="s">
        <v>316</v>
      </c>
      <c r="S23" t="s">
        <v>261</v>
      </c>
      <c r="T23" t="s">
        <v>308</v>
      </c>
      <c r="U23">
        <v>1</v>
      </c>
      <c r="V23">
        <v>1</v>
      </c>
    </row>
    <row r="24" spans="1:22" ht="409.5" x14ac:dyDescent="0.25">
      <c r="A24" t="s">
        <v>63</v>
      </c>
      <c r="B24" t="s">
        <v>64</v>
      </c>
      <c r="C24" t="s">
        <v>65</v>
      </c>
      <c r="D24" t="s">
        <v>324</v>
      </c>
      <c r="E24" s="2" t="s">
        <v>325</v>
      </c>
      <c r="F24" s="2" t="s">
        <v>326</v>
      </c>
      <c r="G24" t="s">
        <v>271</v>
      </c>
      <c r="H24" t="s">
        <v>255</v>
      </c>
      <c r="I24" s="2" t="s">
        <v>327</v>
      </c>
      <c r="K24" t="s">
        <v>257</v>
      </c>
      <c r="O24" t="b">
        <v>0</v>
      </c>
      <c r="P24" t="s">
        <v>294</v>
      </c>
      <c r="Q24" s="2" t="s">
        <v>255</v>
      </c>
      <c r="R24" s="2" t="s">
        <v>328</v>
      </c>
      <c r="S24" t="s">
        <v>261</v>
      </c>
      <c r="T24" t="s">
        <v>262</v>
      </c>
      <c r="U24">
        <v>1</v>
      </c>
      <c r="V24">
        <v>1</v>
      </c>
    </row>
    <row r="25" spans="1:22" ht="405" x14ac:dyDescent="0.25">
      <c r="A25" t="s">
        <v>66</v>
      </c>
      <c r="B25" t="s">
        <v>67</v>
      </c>
      <c r="C25" t="s">
        <v>68</v>
      </c>
      <c r="D25" t="s">
        <v>329</v>
      </c>
      <c r="E25" s="2" t="s">
        <v>330</v>
      </c>
      <c r="F25" s="2" t="s">
        <v>331</v>
      </c>
      <c r="G25" t="s">
        <v>332</v>
      </c>
      <c r="H25" t="s">
        <v>333</v>
      </c>
      <c r="I25" s="2" t="s">
        <v>334</v>
      </c>
      <c r="K25" t="s">
        <v>257</v>
      </c>
      <c r="L25">
        <v>37</v>
      </c>
      <c r="N25" s="2" t="s">
        <v>335</v>
      </c>
      <c r="O25" t="b">
        <v>0</v>
      </c>
      <c r="P25" t="s">
        <v>294</v>
      </c>
      <c r="Q25" s="2" t="s">
        <v>255</v>
      </c>
      <c r="R25" s="2" t="s">
        <v>336</v>
      </c>
      <c r="S25" t="s">
        <v>261</v>
      </c>
      <c r="T25" t="s">
        <v>262</v>
      </c>
      <c r="U25">
        <v>1</v>
      </c>
      <c r="V25">
        <v>1</v>
      </c>
    </row>
    <row r="26" spans="1:22" ht="409.5" x14ac:dyDescent="0.25">
      <c r="A26" t="s">
        <v>69</v>
      </c>
      <c r="B26" t="s">
        <v>67</v>
      </c>
      <c r="C26" t="s">
        <v>70</v>
      </c>
      <c r="D26" t="s">
        <v>329</v>
      </c>
      <c r="E26" s="2" t="s">
        <v>330</v>
      </c>
      <c r="F26" s="2" t="s">
        <v>331</v>
      </c>
      <c r="G26" t="s">
        <v>332</v>
      </c>
      <c r="H26" t="s">
        <v>333</v>
      </c>
      <c r="I26" s="2" t="s">
        <v>334</v>
      </c>
      <c r="K26" t="s">
        <v>292</v>
      </c>
      <c r="L26">
        <v>34</v>
      </c>
      <c r="N26" s="2" t="s">
        <v>337</v>
      </c>
      <c r="O26" t="b">
        <v>0</v>
      </c>
      <c r="P26" t="s">
        <v>294</v>
      </c>
      <c r="Q26" s="2" t="s">
        <v>338</v>
      </c>
      <c r="R26" s="2" t="s">
        <v>339</v>
      </c>
      <c r="S26" t="s">
        <v>261</v>
      </c>
      <c r="T26" t="s">
        <v>262</v>
      </c>
      <c r="U26">
        <v>1</v>
      </c>
      <c r="V26">
        <v>1</v>
      </c>
    </row>
    <row r="27" spans="1:22" ht="150" x14ac:dyDescent="0.25">
      <c r="A27" t="s">
        <v>71</v>
      </c>
      <c r="B27" t="s">
        <v>72</v>
      </c>
      <c r="C27" t="s">
        <v>73</v>
      </c>
      <c r="D27" t="s">
        <v>340</v>
      </c>
      <c r="E27" s="2" t="s">
        <v>341</v>
      </c>
      <c r="F27" s="2" t="s">
        <v>342</v>
      </c>
      <c r="G27" t="s">
        <v>343</v>
      </c>
      <c r="H27" t="s">
        <v>272</v>
      </c>
      <c r="I27" s="2" t="s">
        <v>344</v>
      </c>
      <c r="J27">
        <v>1</v>
      </c>
      <c r="K27" t="s">
        <v>292</v>
      </c>
      <c r="M27">
        <v>90</v>
      </c>
      <c r="N27" s="2" t="s">
        <v>345</v>
      </c>
      <c r="O27" t="b">
        <v>1</v>
      </c>
      <c r="P27" t="s">
        <v>294</v>
      </c>
      <c r="Q27" s="2" t="s">
        <v>346</v>
      </c>
      <c r="R27" s="2" t="s">
        <v>347</v>
      </c>
      <c r="S27" t="s">
        <v>297</v>
      </c>
      <c r="T27" t="s">
        <v>262</v>
      </c>
      <c r="U27">
        <v>1</v>
      </c>
      <c r="V27">
        <v>10</v>
      </c>
    </row>
    <row r="28" spans="1:22" ht="120" x14ac:dyDescent="0.25">
      <c r="A28" t="s">
        <v>74</v>
      </c>
      <c r="B28" t="s">
        <v>72</v>
      </c>
      <c r="C28" t="s">
        <v>75</v>
      </c>
      <c r="D28" t="s">
        <v>340</v>
      </c>
      <c r="E28" s="2" t="s">
        <v>341</v>
      </c>
      <c r="F28" s="2" t="s">
        <v>342</v>
      </c>
      <c r="G28" t="s">
        <v>343</v>
      </c>
      <c r="H28" t="s">
        <v>272</v>
      </c>
      <c r="I28" s="2" t="s">
        <v>344</v>
      </c>
      <c r="J28">
        <v>1</v>
      </c>
      <c r="K28" t="s">
        <v>292</v>
      </c>
      <c r="M28">
        <v>70</v>
      </c>
      <c r="N28" s="2" t="s">
        <v>345</v>
      </c>
      <c r="O28" t="b">
        <v>1</v>
      </c>
      <c r="P28" t="s">
        <v>294</v>
      </c>
      <c r="Q28" s="2" t="s">
        <v>348</v>
      </c>
      <c r="R28" s="2" t="s">
        <v>349</v>
      </c>
      <c r="S28" t="s">
        <v>297</v>
      </c>
      <c r="T28" t="s">
        <v>262</v>
      </c>
      <c r="U28">
        <v>1</v>
      </c>
      <c r="V28">
        <v>9</v>
      </c>
    </row>
    <row r="29" spans="1:22" ht="409.5" x14ac:dyDescent="0.25">
      <c r="A29" t="s">
        <v>76</v>
      </c>
      <c r="B29" t="s">
        <v>77</v>
      </c>
      <c r="C29" t="s">
        <v>78</v>
      </c>
      <c r="D29" t="s">
        <v>350</v>
      </c>
      <c r="E29" s="2" t="s">
        <v>351</v>
      </c>
      <c r="F29" s="2" t="s">
        <v>352</v>
      </c>
      <c r="G29" t="s">
        <v>289</v>
      </c>
      <c r="H29" t="s">
        <v>272</v>
      </c>
      <c r="I29" s="2" t="s">
        <v>353</v>
      </c>
      <c r="K29" t="s">
        <v>257</v>
      </c>
      <c r="O29" t="b">
        <v>1</v>
      </c>
      <c r="P29" t="s">
        <v>294</v>
      </c>
      <c r="Q29" s="2" t="s">
        <v>354</v>
      </c>
      <c r="R29" s="2" t="s">
        <v>355</v>
      </c>
      <c r="S29" t="s">
        <v>261</v>
      </c>
      <c r="T29" t="s">
        <v>262</v>
      </c>
      <c r="U29">
        <v>1</v>
      </c>
      <c r="V29">
        <v>3</v>
      </c>
    </row>
    <row r="30" spans="1:22" ht="409.5" x14ac:dyDescent="0.25">
      <c r="A30" t="s">
        <v>79</v>
      </c>
      <c r="B30" t="s">
        <v>77</v>
      </c>
      <c r="C30" t="s">
        <v>80</v>
      </c>
      <c r="D30" t="s">
        <v>350</v>
      </c>
      <c r="E30" s="2" t="s">
        <v>351</v>
      </c>
      <c r="F30" s="2" t="s">
        <v>352</v>
      </c>
      <c r="G30" t="s">
        <v>289</v>
      </c>
      <c r="H30" t="s">
        <v>272</v>
      </c>
      <c r="I30" s="2" t="s">
        <v>353</v>
      </c>
      <c r="K30" t="s">
        <v>257</v>
      </c>
      <c r="O30" t="b">
        <v>1</v>
      </c>
      <c r="P30" t="s">
        <v>294</v>
      </c>
      <c r="Q30" s="2" t="s">
        <v>356</v>
      </c>
      <c r="R30" s="2" t="s">
        <v>357</v>
      </c>
      <c r="S30" t="s">
        <v>261</v>
      </c>
      <c r="T30" t="s">
        <v>262</v>
      </c>
      <c r="U30">
        <v>1</v>
      </c>
      <c r="V30">
        <v>3</v>
      </c>
    </row>
    <row r="31" spans="1:22" ht="120" x14ac:dyDescent="0.25">
      <c r="A31" t="s">
        <v>81</v>
      </c>
      <c r="B31" t="s">
        <v>82</v>
      </c>
      <c r="C31" t="s">
        <v>83</v>
      </c>
      <c r="D31" t="s">
        <v>358</v>
      </c>
      <c r="E31" s="2" t="s">
        <v>359</v>
      </c>
      <c r="F31" s="2" t="s">
        <v>360</v>
      </c>
      <c r="G31" t="s">
        <v>289</v>
      </c>
      <c r="H31" t="s">
        <v>255</v>
      </c>
      <c r="I31" s="2" t="s">
        <v>361</v>
      </c>
      <c r="J31">
        <v>1</v>
      </c>
      <c r="K31" t="s">
        <v>292</v>
      </c>
      <c r="L31">
        <v>50</v>
      </c>
      <c r="N31" s="2" t="s">
        <v>362</v>
      </c>
      <c r="O31" t="b">
        <v>1</v>
      </c>
      <c r="P31" t="s">
        <v>294</v>
      </c>
      <c r="Q31" s="2" t="s">
        <v>363</v>
      </c>
      <c r="R31" s="2" t="s">
        <v>364</v>
      </c>
      <c r="S31" t="s">
        <v>297</v>
      </c>
      <c r="T31" t="s">
        <v>262</v>
      </c>
      <c r="U31">
        <v>1</v>
      </c>
      <c r="V31">
        <v>1</v>
      </c>
    </row>
    <row r="32" spans="1:22" ht="409.5" x14ac:dyDescent="0.25">
      <c r="A32" t="s">
        <v>84</v>
      </c>
      <c r="B32" t="s">
        <v>85</v>
      </c>
      <c r="C32" t="s">
        <v>86</v>
      </c>
      <c r="D32" t="s">
        <v>365</v>
      </c>
      <c r="E32" s="2" t="s">
        <v>366</v>
      </c>
      <c r="F32" s="2" t="s">
        <v>367</v>
      </c>
      <c r="G32" t="s">
        <v>332</v>
      </c>
      <c r="H32" t="s">
        <v>272</v>
      </c>
      <c r="I32" s="2" t="s">
        <v>368</v>
      </c>
      <c r="K32" t="s">
        <v>257</v>
      </c>
      <c r="O32" t="b">
        <v>1</v>
      </c>
      <c r="P32" t="s">
        <v>369</v>
      </c>
      <c r="Q32" s="2" t="s">
        <v>370</v>
      </c>
      <c r="R32" s="2" t="s">
        <v>371</v>
      </c>
      <c r="S32" t="s">
        <v>261</v>
      </c>
      <c r="T32" t="s">
        <v>262</v>
      </c>
      <c r="U32">
        <v>1</v>
      </c>
      <c r="V32">
        <v>4</v>
      </c>
    </row>
    <row r="33" spans="1:22" ht="409.5" x14ac:dyDescent="0.25">
      <c r="A33" t="s">
        <v>87</v>
      </c>
      <c r="B33" t="s">
        <v>85</v>
      </c>
      <c r="C33" t="s">
        <v>88</v>
      </c>
      <c r="D33" t="s">
        <v>365</v>
      </c>
      <c r="E33" s="2" t="s">
        <v>366</v>
      </c>
      <c r="F33" s="2" t="s">
        <v>367</v>
      </c>
      <c r="G33" t="s">
        <v>332</v>
      </c>
      <c r="H33" t="s">
        <v>272</v>
      </c>
      <c r="I33" s="2" t="s">
        <v>368</v>
      </c>
      <c r="K33" t="s">
        <v>257</v>
      </c>
      <c r="O33" t="b">
        <v>1</v>
      </c>
      <c r="P33" t="s">
        <v>369</v>
      </c>
      <c r="Q33" s="2" t="s">
        <v>372</v>
      </c>
      <c r="R33" s="2" t="s">
        <v>373</v>
      </c>
      <c r="S33" t="s">
        <v>261</v>
      </c>
      <c r="T33" t="s">
        <v>262</v>
      </c>
      <c r="U33">
        <v>1</v>
      </c>
      <c r="V33">
        <v>4</v>
      </c>
    </row>
    <row r="34" spans="1:22" ht="300" x14ac:dyDescent="0.25">
      <c r="A34" t="s">
        <v>89</v>
      </c>
      <c r="B34" t="s">
        <v>90</v>
      </c>
      <c r="C34" t="s">
        <v>91</v>
      </c>
      <c r="D34" t="s">
        <v>374</v>
      </c>
      <c r="E34" s="2" t="s">
        <v>375</v>
      </c>
      <c r="F34" s="2" t="s">
        <v>376</v>
      </c>
      <c r="G34" t="s">
        <v>289</v>
      </c>
      <c r="H34" t="s">
        <v>272</v>
      </c>
      <c r="I34" s="2" t="s">
        <v>377</v>
      </c>
      <c r="J34">
        <v>1</v>
      </c>
      <c r="K34" t="s">
        <v>304</v>
      </c>
      <c r="O34" t="b">
        <v>0</v>
      </c>
      <c r="P34" t="s">
        <v>294</v>
      </c>
      <c r="Q34" s="2" t="s">
        <v>378</v>
      </c>
      <c r="R34" s="2" t="s">
        <v>379</v>
      </c>
      <c r="S34" t="s">
        <v>261</v>
      </c>
      <c r="T34" t="s">
        <v>262</v>
      </c>
      <c r="U34">
        <v>1</v>
      </c>
      <c r="V34">
        <v>1</v>
      </c>
    </row>
    <row r="35" spans="1:22" ht="285" x14ac:dyDescent="0.25">
      <c r="A35" t="s">
        <v>92</v>
      </c>
      <c r="B35" t="s">
        <v>90</v>
      </c>
      <c r="C35" t="s">
        <v>93</v>
      </c>
      <c r="D35" t="s">
        <v>374</v>
      </c>
      <c r="E35" s="2" t="s">
        <v>375</v>
      </c>
      <c r="F35" s="2" t="s">
        <v>376</v>
      </c>
      <c r="G35" t="s">
        <v>289</v>
      </c>
      <c r="H35" t="s">
        <v>272</v>
      </c>
      <c r="I35" s="2" t="s">
        <v>377</v>
      </c>
      <c r="J35">
        <v>1</v>
      </c>
      <c r="K35" t="s">
        <v>304</v>
      </c>
      <c r="N35" s="2" t="s">
        <v>380</v>
      </c>
      <c r="O35" t="b">
        <v>0</v>
      </c>
      <c r="P35" t="s">
        <v>294</v>
      </c>
      <c r="Q35" s="2" t="s">
        <v>381</v>
      </c>
      <c r="R35" s="2" t="s">
        <v>382</v>
      </c>
      <c r="S35" t="s">
        <v>261</v>
      </c>
      <c r="T35" t="s">
        <v>262</v>
      </c>
      <c r="U35">
        <v>1</v>
      </c>
      <c r="V35">
        <v>1</v>
      </c>
    </row>
    <row r="36" spans="1:22" ht="255" x14ac:dyDescent="0.25">
      <c r="A36" t="s">
        <v>94</v>
      </c>
      <c r="B36" t="s">
        <v>90</v>
      </c>
      <c r="C36" t="s">
        <v>95</v>
      </c>
      <c r="D36" t="s">
        <v>374</v>
      </c>
      <c r="E36" s="2" t="s">
        <v>375</v>
      </c>
      <c r="F36" s="2" t="s">
        <v>376</v>
      </c>
      <c r="G36" t="s">
        <v>289</v>
      </c>
      <c r="H36" t="s">
        <v>272</v>
      </c>
      <c r="I36" s="2" t="s">
        <v>377</v>
      </c>
      <c r="J36">
        <v>1</v>
      </c>
      <c r="K36" t="s">
        <v>304</v>
      </c>
      <c r="O36" t="b">
        <v>0</v>
      </c>
      <c r="P36" t="s">
        <v>294</v>
      </c>
      <c r="Q36" s="2" t="s">
        <v>378</v>
      </c>
      <c r="R36" s="2" t="s">
        <v>383</v>
      </c>
      <c r="S36" t="s">
        <v>261</v>
      </c>
      <c r="T36" t="s">
        <v>262</v>
      </c>
      <c r="U36">
        <v>1</v>
      </c>
      <c r="V36">
        <v>1</v>
      </c>
    </row>
    <row r="37" spans="1:22" ht="255" x14ac:dyDescent="0.25">
      <c r="A37" t="s">
        <v>96</v>
      </c>
      <c r="B37" t="s">
        <v>90</v>
      </c>
      <c r="C37" t="s">
        <v>97</v>
      </c>
      <c r="D37" t="s">
        <v>374</v>
      </c>
      <c r="E37" s="2" t="s">
        <v>375</v>
      </c>
      <c r="F37" s="2" t="s">
        <v>376</v>
      </c>
      <c r="G37" t="s">
        <v>289</v>
      </c>
      <c r="H37" t="s">
        <v>272</v>
      </c>
      <c r="I37" s="2" t="s">
        <v>377</v>
      </c>
      <c r="J37">
        <v>1</v>
      </c>
      <c r="K37" t="s">
        <v>304</v>
      </c>
      <c r="O37" t="b">
        <v>0</v>
      </c>
      <c r="P37" t="s">
        <v>294</v>
      </c>
      <c r="Q37" s="2" t="s">
        <v>378</v>
      </c>
      <c r="R37" s="2" t="s">
        <v>384</v>
      </c>
      <c r="S37" t="s">
        <v>261</v>
      </c>
      <c r="T37" t="s">
        <v>262</v>
      </c>
      <c r="U37">
        <v>1</v>
      </c>
      <c r="V37">
        <v>1</v>
      </c>
    </row>
    <row r="38" spans="1:22" ht="285" x14ac:dyDescent="0.25">
      <c r="A38" t="s">
        <v>98</v>
      </c>
      <c r="B38" t="s">
        <v>90</v>
      </c>
      <c r="C38" t="s">
        <v>99</v>
      </c>
      <c r="D38" t="s">
        <v>374</v>
      </c>
      <c r="E38" s="2" t="s">
        <v>375</v>
      </c>
      <c r="F38" s="2" t="s">
        <v>376</v>
      </c>
      <c r="G38" t="s">
        <v>289</v>
      </c>
      <c r="H38" t="s">
        <v>272</v>
      </c>
      <c r="I38" s="2" t="s">
        <v>377</v>
      </c>
      <c r="J38">
        <v>1</v>
      </c>
      <c r="K38" t="s">
        <v>304</v>
      </c>
      <c r="O38" t="b">
        <v>0</v>
      </c>
      <c r="P38" t="s">
        <v>294</v>
      </c>
      <c r="Q38" s="2" t="s">
        <v>378</v>
      </c>
      <c r="R38" s="2" t="s">
        <v>385</v>
      </c>
      <c r="S38" t="s">
        <v>261</v>
      </c>
      <c r="T38" t="s">
        <v>262</v>
      </c>
      <c r="U38">
        <v>1</v>
      </c>
      <c r="V38">
        <v>1</v>
      </c>
    </row>
    <row r="39" spans="1:22" ht="285" x14ac:dyDescent="0.25">
      <c r="A39" t="s">
        <v>100</v>
      </c>
      <c r="B39" t="s">
        <v>90</v>
      </c>
      <c r="C39" t="s">
        <v>101</v>
      </c>
      <c r="D39" t="s">
        <v>374</v>
      </c>
      <c r="E39" s="2" t="s">
        <v>375</v>
      </c>
      <c r="F39" s="2" t="s">
        <v>376</v>
      </c>
      <c r="G39" t="s">
        <v>289</v>
      </c>
      <c r="H39" t="s">
        <v>272</v>
      </c>
      <c r="I39" s="2" t="s">
        <v>377</v>
      </c>
      <c r="J39">
        <v>1</v>
      </c>
      <c r="K39" t="s">
        <v>304</v>
      </c>
      <c r="O39" t="b">
        <v>0</v>
      </c>
      <c r="P39" t="s">
        <v>294</v>
      </c>
      <c r="Q39" s="2" t="s">
        <v>378</v>
      </c>
      <c r="R39" s="2" t="s">
        <v>386</v>
      </c>
      <c r="S39" t="s">
        <v>261</v>
      </c>
      <c r="T39" t="s">
        <v>262</v>
      </c>
      <c r="U39">
        <v>1</v>
      </c>
      <c r="V39">
        <v>1</v>
      </c>
    </row>
    <row r="40" spans="1:22" ht="270" x14ac:dyDescent="0.25">
      <c r="A40" t="s">
        <v>102</v>
      </c>
      <c r="B40" t="s">
        <v>90</v>
      </c>
      <c r="C40" t="s">
        <v>103</v>
      </c>
      <c r="D40" t="s">
        <v>374</v>
      </c>
      <c r="E40" s="2" t="s">
        <v>375</v>
      </c>
      <c r="F40" s="2" t="s">
        <v>376</v>
      </c>
      <c r="G40" t="s">
        <v>289</v>
      </c>
      <c r="H40" t="s">
        <v>272</v>
      </c>
      <c r="I40" s="2" t="s">
        <v>377</v>
      </c>
      <c r="J40">
        <v>1</v>
      </c>
      <c r="K40" t="s">
        <v>304</v>
      </c>
      <c r="O40" t="b">
        <v>0</v>
      </c>
      <c r="P40" t="s">
        <v>294</v>
      </c>
      <c r="Q40" s="2" t="s">
        <v>378</v>
      </c>
      <c r="R40" s="2" t="s">
        <v>387</v>
      </c>
      <c r="S40" t="s">
        <v>261</v>
      </c>
      <c r="T40" t="s">
        <v>262</v>
      </c>
      <c r="U40">
        <v>1</v>
      </c>
      <c r="V40">
        <v>1</v>
      </c>
    </row>
    <row r="41" spans="1:22" ht="375" x14ac:dyDescent="0.25">
      <c r="A41" t="s">
        <v>104</v>
      </c>
      <c r="B41" t="s">
        <v>105</v>
      </c>
      <c r="C41" t="s">
        <v>106</v>
      </c>
      <c r="D41" t="s">
        <v>388</v>
      </c>
      <c r="E41" s="2" t="s">
        <v>389</v>
      </c>
      <c r="F41" s="2" t="s">
        <v>390</v>
      </c>
      <c r="G41" t="s">
        <v>289</v>
      </c>
      <c r="H41" t="s">
        <v>290</v>
      </c>
      <c r="I41" s="2" t="s">
        <v>391</v>
      </c>
      <c r="J41">
        <v>1</v>
      </c>
      <c r="K41" t="s">
        <v>304</v>
      </c>
      <c r="O41" t="b">
        <v>0</v>
      </c>
      <c r="P41" t="s">
        <v>294</v>
      </c>
      <c r="Q41" s="2" t="s">
        <v>392</v>
      </c>
      <c r="R41" s="2" t="s">
        <v>393</v>
      </c>
      <c r="S41" t="s">
        <v>261</v>
      </c>
      <c r="T41" t="s">
        <v>262</v>
      </c>
      <c r="U41">
        <v>2</v>
      </c>
      <c r="V41">
        <v>1</v>
      </c>
    </row>
    <row r="42" spans="1:22" ht="360" x14ac:dyDescent="0.25">
      <c r="A42" t="s">
        <v>107</v>
      </c>
      <c r="B42" t="s">
        <v>105</v>
      </c>
      <c r="C42" t="s">
        <v>108</v>
      </c>
      <c r="D42" t="s">
        <v>388</v>
      </c>
      <c r="E42" s="2" t="s">
        <v>389</v>
      </c>
      <c r="F42" s="2" t="s">
        <v>390</v>
      </c>
      <c r="G42" t="s">
        <v>289</v>
      </c>
      <c r="H42" t="s">
        <v>290</v>
      </c>
      <c r="I42" s="2" t="s">
        <v>391</v>
      </c>
      <c r="J42">
        <v>1</v>
      </c>
      <c r="K42" t="s">
        <v>304</v>
      </c>
      <c r="O42" t="b">
        <v>0</v>
      </c>
      <c r="P42" t="s">
        <v>294</v>
      </c>
      <c r="Q42" s="2" t="s">
        <v>394</v>
      </c>
      <c r="R42" s="2" t="s">
        <v>395</v>
      </c>
      <c r="S42" t="s">
        <v>261</v>
      </c>
      <c r="T42" t="s">
        <v>262</v>
      </c>
      <c r="U42">
        <v>2</v>
      </c>
      <c r="V42">
        <v>1</v>
      </c>
    </row>
    <row r="43" spans="1:22" ht="135" x14ac:dyDescent="0.25">
      <c r="A43" t="s">
        <v>109</v>
      </c>
      <c r="B43" t="s">
        <v>110</v>
      </c>
      <c r="C43" t="s">
        <v>111</v>
      </c>
      <c r="D43" t="s">
        <v>396</v>
      </c>
      <c r="E43" s="2" t="s">
        <v>397</v>
      </c>
      <c r="F43" s="2" t="s">
        <v>398</v>
      </c>
      <c r="G43" t="s">
        <v>289</v>
      </c>
      <c r="H43" t="s">
        <v>272</v>
      </c>
      <c r="I43" s="2" t="s">
        <v>399</v>
      </c>
      <c r="K43" t="s">
        <v>257</v>
      </c>
      <c r="O43" t="b">
        <v>1</v>
      </c>
      <c r="P43" t="s">
        <v>294</v>
      </c>
      <c r="Q43" s="2" t="s">
        <v>400</v>
      </c>
      <c r="R43" s="2" t="s">
        <v>401</v>
      </c>
      <c r="S43" t="s">
        <v>402</v>
      </c>
      <c r="T43" t="s">
        <v>262</v>
      </c>
      <c r="U43">
        <v>3</v>
      </c>
      <c r="V43">
        <v>1</v>
      </c>
    </row>
    <row r="44" spans="1:22" ht="105" x14ac:dyDescent="0.25">
      <c r="A44" t="s">
        <v>112</v>
      </c>
      <c r="B44" t="s">
        <v>113</v>
      </c>
      <c r="C44" t="s">
        <v>114</v>
      </c>
      <c r="D44" t="s">
        <v>403</v>
      </c>
      <c r="E44" s="2" t="s">
        <v>404</v>
      </c>
      <c r="F44" s="2" t="s">
        <v>405</v>
      </c>
      <c r="G44" t="s">
        <v>289</v>
      </c>
      <c r="H44" t="s">
        <v>272</v>
      </c>
      <c r="I44" s="2" t="s">
        <v>406</v>
      </c>
      <c r="K44" t="s">
        <v>320</v>
      </c>
      <c r="L44">
        <v>34</v>
      </c>
      <c r="M44">
        <v>50</v>
      </c>
      <c r="N44" s="2" t="s">
        <v>407</v>
      </c>
      <c r="O44" t="b">
        <v>1</v>
      </c>
      <c r="P44" t="s">
        <v>294</v>
      </c>
      <c r="Q44" s="2" t="s">
        <v>408</v>
      </c>
      <c r="R44" s="2" t="s">
        <v>409</v>
      </c>
      <c r="S44" t="s">
        <v>297</v>
      </c>
      <c r="T44" t="s">
        <v>262</v>
      </c>
      <c r="U44">
        <v>1</v>
      </c>
      <c r="V44">
        <v>1</v>
      </c>
    </row>
    <row r="45" spans="1:22" ht="165" x14ac:dyDescent="0.25">
      <c r="A45" t="s">
        <v>115</v>
      </c>
      <c r="B45" t="s">
        <v>116</v>
      </c>
      <c r="C45" t="s">
        <v>117</v>
      </c>
      <c r="D45" t="s">
        <v>410</v>
      </c>
      <c r="E45" s="2" t="s">
        <v>411</v>
      </c>
      <c r="F45" s="2" t="s">
        <v>412</v>
      </c>
      <c r="G45" t="s">
        <v>289</v>
      </c>
      <c r="H45" t="s">
        <v>333</v>
      </c>
      <c r="I45" s="2" t="s">
        <v>413</v>
      </c>
      <c r="K45" t="s">
        <v>292</v>
      </c>
      <c r="O45" t="b">
        <v>1</v>
      </c>
      <c r="P45" t="s">
        <v>258</v>
      </c>
      <c r="Q45" s="2" t="s">
        <v>414</v>
      </c>
      <c r="R45" s="2" t="s">
        <v>415</v>
      </c>
      <c r="S45" t="s">
        <v>297</v>
      </c>
      <c r="T45" t="s">
        <v>262</v>
      </c>
      <c r="U45">
        <v>1</v>
      </c>
      <c r="V45">
        <v>1</v>
      </c>
    </row>
    <row r="46" spans="1:22" ht="150" x14ac:dyDescent="0.25">
      <c r="A46" t="s">
        <v>119</v>
      </c>
      <c r="B46" t="s">
        <v>118</v>
      </c>
      <c r="C46" t="s">
        <v>120</v>
      </c>
      <c r="D46" t="s">
        <v>416</v>
      </c>
      <c r="E46" s="2" t="s">
        <v>417</v>
      </c>
      <c r="F46" s="2" t="s">
        <v>418</v>
      </c>
      <c r="G46" t="s">
        <v>332</v>
      </c>
      <c r="H46" t="s">
        <v>272</v>
      </c>
      <c r="I46" s="2" t="s">
        <v>419</v>
      </c>
      <c r="K46" t="s">
        <v>320</v>
      </c>
      <c r="L46">
        <v>10</v>
      </c>
      <c r="N46" s="2" t="s">
        <v>420</v>
      </c>
      <c r="O46" t="b">
        <v>1</v>
      </c>
      <c r="P46" t="s">
        <v>294</v>
      </c>
      <c r="Q46" s="2" t="s">
        <v>421</v>
      </c>
      <c r="R46" s="2" t="s">
        <v>422</v>
      </c>
      <c r="S46" t="s">
        <v>297</v>
      </c>
      <c r="T46" t="s">
        <v>262</v>
      </c>
      <c r="U46">
        <v>1</v>
      </c>
      <c r="V46">
        <v>6</v>
      </c>
    </row>
    <row r="47" spans="1:22" ht="150" x14ac:dyDescent="0.25">
      <c r="A47" t="s">
        <v>121</v>
      </c>
      <c r="B47" t="s">
        <v>122</v>
      </c>
      <c r="C47" t="s">
        <v>123</v>
      </c>
      <c r="D47" t="s">
        <v>423</v>
      </c>
      <c r="E47" s="2" t="s">
        <v>424</v>
      </c>
      <c r="F47" s="2" t="s">
        <v>425</v>
      </c>
      <c r="G47" t="s">
        <v>332</v>
      </c>
      <c r="H47" t="s">
        <v>272</v>
      </c>
      <c r="I47" s="2" t="s">
        <v>426</v>
      </c>
      <c r="K47" t="s">
        <v>292</v>
      </c>
      <c r="L47">
        <v>5</v>
      </c>
      <c r="N47" s="2" t="s">
        <v>427</v>
      </c>
      <c r="O47" t="b">
        <v>1</v>
      </c>
      <c r="P47" t="s">
        <v>294</v>
      </c>
      <c r="Q47" s="2" t="s">
        <v>428</v>
      </c>
      <c r="R47" s="2" t="s">
        <v>429</v>
      </c>
      <c r="S47" t="s">
        <v>402</v>
      </c>
      <c r="T47" t="s">
        <v>262</v>
      </c>
      <c r="U47">
        <v>4</v>
      </c>
      <c r="V47">
        <v>1</v>
      </c>
    </row>
    <row r="48" spans="1:22" ht="409.5" x14ac:dyDescent="0.25">
      <c r="A48" t="s">
        <v>124</v>
      </c>
      <c r="B48" t="s">
        <v>125</v>
      </c>
      <c r="C48" t="s">
        <v>126</v>
      </c>
      <c r="D48" t="s">
        <v>430</v>
      </c>
      <c r="E48" s="2" t="s">
        <v>431</v>
      </c>
      <c r="F48" s="2" t="s">
        <v>432</v>
      </c>
      <c r="G48" t="s">
        <v>289</v>
      </c>
      <c r="H48" t="s">
        <v>333</v>
      </c>
      <c r="I48" s="2" t="s">
        <v>433</v>
      </c>
      <c r="K48" t="s">
        <v>257</v>
      </c>
      <c r="O48" t="b">
        <v>0</v>
      </c>
      <c r="P48" t="s">
        <v>294</v>
      </c>
      <c r="Q48" s="2" t="s">
        <v>434</v>
      </c>
      <c r="R48" s="2" t="s">
        <v>435</v>
      </c>
      <c r="S48" t="s">
        <v>261</v>
      </c>
      <c r="T48" t="s">
        <v>262</v>
      </c>
      <c r="U48">
        <v>3</v>
      </c>
      <c r="V48">
        <v>1</v>
      </c>
    </row>
    <row r="49" spans="1:22" ht="105" x14ac:dyDescent="0.25">
      <c r="A49" t="s">
        <v>127</v>
      </c>
      <c r="B49" t="s">
        <v>128</v>
      </c>
      <c r="C49" t="s">
        <v>129</v>
      </c>
      <c r="D49" t="s">
        <v>436</v>
      </c>
      <c r="E49" s="2" t="s">
        <v>437</v>
      </c>
      <c r="F49" s="2" t="s">
        <v>438</v>
      </c>
      <c r="G49" t="s">
        <v>289</v>
      </c>
      <c r="H49" t="s">
        <v>272</v>
      </c>
      <c r="I49" s="2" t="s">
        <v>439</v>
      </c>
      <c r="K49" t="s">
        <v>320</v>
      </c>
      <c r="M49">
        <v>59</v>
      </c>
      <c r="N49" s="2" t="s">
        <v>440</v>
      </c>
      <c r="O49" t="b">
        <v>1</v>
      </c>
      <c r="P49" t="s">
        <v>294</v>
      </c>
      <c r="Q49" s="2" t="s">
        <v>441</v>
      </c>
      <c r="R49" s="2" t="s">
        <v>442</v>
      </c>
      <c r="S49" t="s">
        <v>297</v>
      </c>
      <c r="T49" t="s">
        <v>262</v>
      </c>
      <c r="U49">
        <v>1</v>
      </c>
      <c r="V49">
        <v>1</v>
      </c>
    </row>
    <row r="50" spans="1:22" ht="120" x14ac:dyDescent="0.25">
      <c r="A50" t="s">
        <v>130</v>
      </c>
      <c r="B50" t="s">
        <v>131</v>
      </c>
      <c r="C50" t="s">
        <v>132</v>
      </c>
      <c r="D50" t="s">
        <v>443</v>
      </c>
      <c r="E50" s="2" t="s">
        <v>444</v>
      </c>
      <c r="F50" s="2" t="s">
        <v>445</v>
      </c>
      <c r="G50" t="s">
        <v>289</v>
      </c>
      <c r="H50" t="s">
        <v>255</v>
      </c>
      <c r="I50" s="2" t="s">
        <v>446</v>
      </c>
      <c r="K50" t="s">
        <v>292</v>
      </c>
      <c r="L50">
        <v>86</v>
      </c>
      <c r="M50">
        <v>15</v>
      </c>
      <c r="N50" s="2" t="s">
        <v>447</v>
      </c>
      <c r="O50" t="b">
        <v>1</v>
      </c>
      <c r="P50" t="s">
        <v>294</v>
      </c>
      <c r="Q50" s="2" t="s">
        <v>448</v>
      </c>
      <c r="R50" s="2" t="s">
        <v>449</v>
      </c>
      <c r="S50" t="s">
        <v>450</v>
      </c>
      <c r="T50" t="s">
        <v>262</v>
      </c>
      <c r="U50">
        <v>1</v>
      </c>
      <c r="V50">
        <v>43</v>
      </c>
    </row>
    <row r="51" spans="1:22" ht="165" x14ac:dyDescent="0.25">
      <c r="A51" t="s">
        <v>133</v>
      </c>
      <c r="B51" t="s">
        <v>134</v>
      </c>
      <c r="C51" t="s">
        <v>135</v>
      </c>
      <c r="D51" t="s">
        <v>451</v>
      </c>
      <c r="E51" s="2" t="s">
        <v>452</v>
      </c>
      <c r="F51" s="2" t="s">
        <v>453</v>
      </c>
      <c r="G51" t="s">
        <v>343</v>
      </c>
      <c r="H51" t="s">
        <v>255</v>
      </c>
      <c r="I51" s="2" t="s">
        <v>454</v>
      </c>
      <c r="K51" t="s">
        <v>257</v>
      </c>
      <c r="O51" t="b">
        <v>0</v>
      </c>
      <c r="P51" t="s">
        <v>294</v>
      </c>
      <c r="Q51" s="2" t="s">
        <v>255</v>
      </c>
      <c r="R51" s="2" t="s">
        <v>455</v>
      </c>
      <c r="S51" t="s">
        <v>402</v>
      </c>
      <c r="T51" t="s">
        <v>262</v>
      </c>
      <c r="U51">
        <v>1</v>
      </c>
      <c r="V51">
        <v>1</v>
      </c>
    </row>
    <row r="52" spans="1:22" ht="150" x14ac:dyDescent="0.25">
      <c r="A52" t="s">
        <v>136</v>
      </c>
      <c r="B52" t="s">
        <v>134</v>
      </c>
      <c r="C52" t="s">
        <v>137</v>
      </c>
      <c r="D52" t="s">
        <v>451</v>
      </c>
      <c r="E52" s="2" t="s">
        <v>452</v>
      </c>
      <c r="F52" s="2" t="s">
        <v>453</v>
      </c>
      <c r="G52" t="s">
        <v>343</v>
      </c>
      <c r="H52" t="s">
        <v>255</v>
      </c>
      <c r="I52" s="2" t="s">
        <v>454</v>
      </c>
      <c r="K52" t="s">
        <v>257</v>
      </c>
      <c r="O52" t="b">
        <v>0</v>
      </c>
      <c r="P52" t="s">
        <v>294</v>
      </c>
      <c r="Q52" s="2" t="s">
        <v>255</v>
      </c>
      <c r="R52" s="2" t="s">
        <v>456</v>
      </c>
      <c r="S52" t="s">
        <v>402</v>
      </c>
      <c r="T52" t="s">
        <v>262</v>
      </c>
      <c r="U52">
        <v>1</v>
      </c>
      <c r="V52">
        <v>1</v>
      </c>
    </row>
    <row r="53" spans="1:22" ht="120" x14ac:dyDescent="0.25">
      <c r="A53" t="s">
        <v>138</v>
      </c>
      <c r="B53" t="s">
        <v>139</v>
      </c>
      <c r="C53" t="s">
        <v>140</v>
      </c>
      <c r="D53" t="s">
        <v>457</v>
      </c>
      <c r="E53" s="2" t="s">
        <v>458</v>
      </c>
      <c r="F53" s="2" t="s">
        <v>459</v>
      </c>
      <c r="G53" t="s">
        <v>289</v>
      </c>
      <c r="H53" t="s">
        <v>290</v>
      </c>
      <c r="I53" s="2" t="s">
        <v>460</v>
      </c>
      <c r="K53" t="s">
        <v>292</v>
      </c>
      <c r="L53">
        <v>100</v>
      </c>
      <c r="N53" s="2" t="s">
        <v>461</v>
      </c>
      <c r="O53" t="b">
        <v>1</v>
      </c>
      <c r="P53" t="s">
        <v>294</v>
      </c>
      <c r="Q53" s="2" t="s">
        <v>462</v>
      </c>
      <c r="R53" s="2" t="s">
        <v>463</v>
      </c>
      <c r="S53" t="s">
        <v>297</v>
      </c>
      <c r="T53" t="s">
        <v>262</v>
      </c>
      <c r="U53">
        <v>1</v>
      </c>
      <c r="V53">
        <v>1</v>
      </c>
    </row>
    <row r="54" spans="1:22" ht="135" x14ac:dyDescent="0.25">
      <c r="A54" t="s">
        <v>141</v>
      </c>
      <c r="B54" t="s">
        <v>139</v>
      </c>
      <c r="C54" t="s">
        <v>142</v>
      </c>
      <c r="D54" t="s">
        <v>457</v>
      </c>
      <c r="E54" s="2" t="s">
        <v>458</v>
      </c>
      <c r="F54" s="2" t="s">
        <v>459</v>
      </c>
      <c r="G54" t="s">
        <v>289</v>
      </c>
      <c r="H54" t="s">
        <v>290</v>
      </c>
      <c r="I54" s="2" t="s">
        <v>460</v>
      </c>
      <c r="K54" t="s">
        <v>304</v>
      </c>
      <c r="N54" s="2" t="s">
        <v>464</v>
      </c>
      <c r="O54" t="b">
        <v>0</v>
      </c>
      <c r="P54" t="s">
        <v>294</v>
      </c>
      <c r="Q54" s="2" t="s">
        <v>465</v>
      </c>
      <c r="R54" s="2" t="s">
        <v>466</v>
      </c>
      <c r="S54" t="s">
        <v>402</v>
      </c>
      <c r="T54" t="s">
        <v>262</v>
      </c>
      <c r="U54">
        <v>1</v>
      </c>
      <c r="V54">
        <v>1</v>
      </c>
    </row>
    <row r="55" spans="1:22" ht="120" x14ac:dyDescent="0.25">
      <c r="A55" t="s">
        <v>143</v>
      </c>
      <c r="B55" t="s">
        <v>139</v>
      </c>
      <c r="C55" t="s">
        <v>144</v>
      </c>
      <c r="D55" t="s">
        <v>457</v>
      </c>
      <c r="E55" s="2" t="s">
        <v>458</v>
      </c>
      <c r="F55" s="2" t="s">
        <v>459</v>
      </c>
      <c r="G55" t="s">
        <v>289</v>
      </c>
      <c r="H55" t="s">
        <v>290</v>
      </c>
      <c r="I55" s="2" t="s">
        <v>460</v>
      </c>
      <c r="K55" t="s">
        <v>304</v>
      </c>
      <c r="N55" s="2" t="s">
        <v>467</v>
      </c>
      <c r="O55" t="b">
        <v>0</v>
      </c>
      <c r="P55" t="s">
        <v>294</v>
      </c>
      <c r="Q55" s="2" t="s">
        <v>465</v>
      </c>
      <c r="R55" s="2" t="s">
        <v>468</v>
      </c>
      <c r="S55" t="s">
        <v>402</v>
      </c>
      <c r="T55" t="s">
        <v>262</v>
      </c>
      <c r="U55">
        <v>1</v>
      </c>
      <c r="V55">
        <v>1</v>
      </c>
    </row>
    <row r="56" spans="1:22" ht="120" x14ac:dyDescent="0.25">
      <c r="A56" t="s">
        <v>145</v>
      </c>
      <c r="B56" t="s">
        <v>139</v>
      </c>
      <c r="C56" t="s">
        <v>146</v>
      </c>
      <c r="D56" t="s">
        <v>457</v>
      </c>
      <c r="E56" s="2" t="s">
        <v>458</v>
      </c>
      <c r="F56" s="2" t="s">
        <v>459</v>
      </c>
      <c r="G56" t="s">
        <v>289</v>
      </c>
      <c r="H56" t="s">
        <v>290</v>
      </c>
      <c r="I56" s="2" t="s">
        <v>460</v>
      </c>
      <c r="K56" t="s">
        <v>304</v>
      </c>
      <c r="N56" s="2" t="s">
        <v>467</v>
      </c>
      <c r="O56" t="b">
        <v>0</v>
      </c>
      <c r="P56" t="s">
        <v>294</v>
      </c>
      <c r="Q56" s="2" t="s">
        <v>465</v>
      </c>
      <c r="R56" s="2" t="s">
        <v>469</v>
      </c>
      <c r="S56" t="s">
        <v>402</v>
      </c>
      <c r="T56" t="s">
        <v>262</v>
      </c>
      <c r="U56">
        <v>1</v>
      </c>
      <c r="V56">
        <v>1</v>
      </c>
    </row>
    <row r="57" spans="1:22" ht="120" x14ac:dyDescent="0.25">
      <c r="A57" t="s">
        <v>147</v>
      </c>
      <c r="B57" t="s">
        <v>139</v>
      </c>
      <c r="C57" t="s">
        <v>148</v>
      </c>
      <c r="D57" t="s">
        <v>457</v>
      </c>
      <c r="E57" s="2" t="s">
        <v>458</v>
      </c>
      <c r="F57" s="2" t="s">
        <v>459</v>
      </c>
      <c r="G57" t="s">
        <v>289</v>
      </c>
      <c r="H57" t="s">
        <v>290</v>
      </c>
      <c r="I57" s="2" t="s">
        <v>460</v>
      </c>
      <c r="K57" t="s">
        <v>320</v>
      </c>
      <c r="L57">
        <v>80</v>
      </c>
      <c r="N57" s="2" t="s">
        <v>467</v>
      </c>
      <c r="O57" t="b">
        <v>0</v>
      </c>
      <c r="P57" t="s">
        <v>294</v>
      </c>
      <c r="Q57" s="2" t="s">
        <v>470</v>
      </c>
      <c r="R57" s="2" t="s">
        <v>471</v>
      </c>
      <c r="S57" t="s">
        <v>402</v>
      </c>
      <c r="T57" t="s">
        <v>262</v>
      </c>
      <c r="U57">
        <v>1</v>
      </c>
      <c r="V57">
        <v>1</v>
      </c>
    </row>
    <row r="58" spans="1:22" ht="120" x14ac:dyDescent="0.25">
      <c r="A58" t="s">
        <v>149</v>
      </c>
      <c r="B58" t="s">
        <v>139</v>
      </c>
      <c r="C58" t="s">
        <v>150</v>
      </c>
      <c r="D58" t="s">
        <v>457</v>
      </c>
      <c r="E58" s="2" t="s">
        <v>458</v>
      </c>
      <c r="F58" s="2" t="s">
        <v>459</v>
      </c>
      <c r="G58" t="s">
        <v>289</v>
      </c>
      <c r="H58" t="s">
        <v>290</v>
      </c>
      <c r="I58" s="2" t="s">
        <v>460</v>
      </c>
      <c r="K58" t="s">
        <v>304</v>
      </c>
      <c r="N58" s="2" t="s">
        <v>467</v>
      </c>
      <c r="O58" t="b">
        <v>0</v>
      </c>
      <c r="P58" t="s">
        <v>294</v>
      </c>
      <c r="Q58" s="2" t="s">
        <v>465</v>
      </c>
      <c r="R58" s="2" t="s">
        <v>472</v>
      </c>
      <c r="S58" t="s">
        <v>402</v>
      </c>
      <c r="T58" t="s">
        <v>262</v>
      </c>
      <c r="U58">
        <v>1</v>
      </c>
      <c r="V58">
        <v>1</v>
      </c>
    </row>
    <row r="59" spans="1:22" ht="120" x14ac:dyDescent="0.25">
      <c r="A59" t="s">
        <v>151</v>
      </c>
      <c r="B59" t="s">
        <v>139</v>
      </c>
      <c r="C59" t="s">
        <v>152</v>
      </c>
      <c r="D59" t="s">
        <v>457</v>
      </c>
      <c r="E59" s="2" t="s">
        <v>458</v>
      </c>
      <c r="F59" s="2" t="s">
        <v>459</v>
      </c>
      <c r="G59" t="s">
        <v>289</v>
      </c>
      <c r="H59" t="s">
        <v>290</v>
      </c>
      <c r="I59" s="2" t="s">
        <v>460</v>
      </c>
      <c r="K59" t="s">
        <v>304</v>
      </c>
      <c r="N59" s="2" t="s">
        <v>467</v>
      </c>
      <c r="O59" t="b">
        <v>0</v>
      </c>
      <c r="P59" t="s">
        <v>294</v>
      </c>
      <c r="Q59" s="2" t="s">
        <v>465</v>
      </c>
      <c r="R59" s="2" t="s">
        <v>473</v>
      </c>
      <c r="S59" t="s">
        <v>402</v>
      </c>
      <c r="T59" t="s">
        <v>262</v>
      </c>
      <c r="U59">
        <v>1</v>
      </c>
      <c r="V59">
        <v>1</v>
      </c>
    </row>
    <row r="60" spans="1:22" ht="409.5" x14ac:dyDescent="0.25">
      <c r="A60" t="s">
        <v>153</v>
      </c>
      <c r="B60" t="s">
        <v>154</v>
      </c>
      <c r="C60" t="s">
        <v>155</v>
      </c>
      <c r="D60" t="s">
        <v>474</v>
      </c>
      <c r="E60" s="2" t="s">
        <v>475</v>
      </c>
      <c r="F60" s="2" t="s">
        <v>476</v>
      </c>
      <c r="G60" t="s">
        <v>343</v>
      </c>
      <c r="H60" t="s">
        <v>255</v>
      </c>
      <c r="I60" s="2" t="s">
        <v>477</v>
      </c>
      <c r="K60" t="s">
        <v>320</v>
      </c>
      <c r="L60">
        <v>66</v>
      </c>
      <c r="N60" s="2" t="s">
        <v>478</v>
      </c>
      <c r="O60" t="b">
        <v>0</v>
      </c>
      <c r="P60" t="s">
        <v>294</v>
      </c>
      <c r="Q60" s="2" t="s">
        <v>479</v>
      </c>
      <c r="R60" s="2" t="s">
        <v>480</v>
      </c>
      <c r="S60" t="s">
        <v>261</v>
      </c>
      <c r="T60" t="s">
        <v>262</v>
      </c>
      <c r="U60">
        <v>2</v>
      </c>
      <c r="V60">
        <v>1</v>
      </c>
    </row>
    <row r="61" spans="1:22" ht="405" x14ac:dyDescent="0.25">
      <c r="A61" t="s">
        <v>156</v>
      </c>
      <c r="B61" t="s">
        <v>154</v>
      </c>
      <c r="C61" t="s">
        <v>157</v>
      </c>
      <c r="D61" t="s">
        <v>474</v>
      </c>
      <c r="E61" s="2" t="s">
        <v>475</v>
      </c>
      <c r="F61" s="2" t="s">
        <v>476</v>
      </c>
      <c r="G61" t="s">
        <v>343</v>
      </c>
      <c r="H61" t="s">
        <v>255</v>
      </c>
      <c r="I61" s="2" t="s">
        <v>477</v>
      </c>
      <c r="K61" t="s">
        <v>257</v>
      </c>
      <c r="N61" s="2" t="s">
        <v>481</v>
      </c>
      <c r="O61" t="b">
        <v>0</v>
      </c>
      <c r="P61" t="s">
        <v>294</v>
      </c>
      <c r="Q61" s="2" t="s">
        <v>255</v>
      </c>
      <c r="R61" s="2" t="s">
        <v>482</v>
      </c>
      <c r="S61" t="s">
        <v>261</v>
      </c>
      <c r="T61" t="s">
        <v>262</v>
      </c>
      <c r="U61">
        <v>2</v>
      </c>
      <c r="V61">
        <v>1</v>
      </c>
    </row>
    <row r="62" spans="1:22" ht="409.5" x14ac:dyDescent="0.25">
      <c r="A62" t="s">
        <v>158</v>
      </c>
      <c r="B62" t="s">
        <v>154</v>
      </c>
      <c r="C62" t="s">
        <v>159</v>
      </c>
      <c r="D62" t="s">
        <v>474</v>
      </c>
      <c r="E62" s="2" t="s">
        <v>475</v>
      </c>
      <c r="F62" s="2" t="s">
        <v>476</v>
      </c>
      <c r="G62" t="s">
        <v>343</v>
      </c>
      <c r="H62" t="s">
        <v>255</v>
      </c>
      <c r="I62" s="2" t="s">
        <v>477</v>
      </c>
      <c r="K62" t="s">
        <v>257</v>
      </c>
      <c r="L62">
        <v>64</v>
      </c>
      <c r="N62" s="2" t="s">
        <v>478</v>
      </c>
      <c r="O62" t="b">
        <v>0</v>
      </c>
      <c r="P62" t="s">
        <v>294</v>
      </c>
      <c r="Q62" s="2" t="s">
        <v>255</v>
      </c>
      <c r="R62" s="2" t="s">
        <v>483</v>
      </c>
      <c r="S62" t="s">
        <v>261</v>
      </c>
      <c r="T62" t="s">
        <v>262</v>
      </c>
      <c r="U62">
        <v>4</v>
      </c>
      <c r="V62">
        <v>1</v>
      </c>
    </row>
    <row r="63" spans="1:22" ht="150" x14ac:dyDescent="0.25">
      <c r="A63" t="s">
        <v>160</v>
      </c>
      <c r="B63" t="s">
        <v>161</v>
      </c>
      <c r="C63" t="s">
        <v>162</v>
      </c>
      <c r="D63" t="s">
        <v>484</v>
      </c>
      <c r="E63" s="2" t="s">
        <v>485</v>
      </c>
      <c r="F63" s="2" t="s">
        <v>486</v>
      </c>
      <c r="G63" t="s">
        <v>289</v>
      </c>
      <c r="H63" t="s">
        <v>272</v>
      </c>
      <c r="I63" s="2" t="s">
        <v>487</v>
      </c>
      <c r="K63" t="s">
        <v>292</v>
      </c>
      <c r="N63" s="2" t="s">
        <v>488</v>
      </c>
      <c r="O63" t="b">
        <v>1</v>
      </c>
      <c r="P63" t="s">
        <v>258</v>
      </c>
      <c r="Q63" s="2" t="s">
        <v>489</v>
      </c>
      <c r="R63" s="2" t="s">
        <v>490</v>
      </c>
      <c r="S63" t="s">
        <v>297</v>
      </c>
      <c r="T63" t="s">
        <v>262</v>
      </c>
      <c r="U63">
        <v>1</v>
      </c>
      <c r="V63">
        <v>1</v>
      </c>
    </row>
    <row r="64" spans="1:22" ht="225" x14ac:dyDescent="0.25">
      <c r="A64" t="s">
        <v>163</v>
      </c>
      <c r="B64" t="s">
        <v>164</v>
      </c>
      <c r="C64" t="s">
        <v>165</v>
      </c>
      <c r="D64" t="s">
        <v>491</v>
      </c>
      <c r="E64" s="2" t="s">
        <v>492</v>
      </c>
      <c r="F64" s="2" t="s">
        <v>493</v>
      </c>
      <c r="G64" t="s">
        <v>289</v>
      </c>
      <c r="H64" t="s">
        <v>272</v>
      </c>
      <c r="I64" s="2" t="s">
        <v>494</v>
      </c>
      <c r="K64" t="s">
        <v>257</v>
      </c>
      <c r="O64" t="b">
        <v>0</v>
      </c>
      <c r="P64" t="s">
        <v>294</v>
      </c>
      <c r="Q64" s="2" t="s">
        <v>495</v>
      </c>
      <c r="R64" s="2" t="s">
        <v>496</v>
      </c>
      <c r="S64" t="s">
        <v>402</v>
      </c>
      <c r="T64" t="s">
        <v>262</v>
      </c>
      <c r="U64">
        <v>1</v>
      </c>
      <c r="V64">
        <v>1</v>
      </c>
    </row>
    <row r="65" spans="1:22" ht="225" x14ac:dyDescent="0.25">
      <c r="A65" t="s">
        <v>166</v>
      </c>
      <c r="B65" t="s">
        <v>164</v>
      </c>
      <c r="C65" t="s">
        <v>167</v>
      </c>
      <c r="D65" t="s">
        <v>491</v>
      </c>
      <c r="E65" s="2" t="s">
        <v>492</v>
      </c>
      <c r="F65" s="2" t="s">
        <v>493</v>
      </c>
      <c r="G65" t="s">
        <v>289</v>
      </c>
      <c r="H65" t="s">
        <v>272</v>
      </c>
      <c r="I65" s="2" t="s">
        <v>494</v>
      </c>
      <c r="K65" t="s">
        <v>257</v>
      </c>
      <c r="O65" t="b">
        <v>0</v>
      </c>
      <c r="P65" t="s">
        <v>294</v>
      </c>
      <c r="Q65" s="2" t="s">
        <v>497</v>
      </c>
      <c r="R65" s="2" t="s">
        <v>498</v>
      </c>
      <c r="S65" t="s">
        <v>402</v>
      </c>
      <c r="T65" t="s">
        <v>262</v>
      </c>
      <c r="U65">
        <v>1</v>
      </c>
      <c r="V65">
        <v>1</v>
      </c>
    </row>
    <row r="66" spans="1:22" ht="225" x14ac:dyDescent="0.25">
      <c r="A66" t="s">
        <v>168</v>
      </c>
      <c r="B66" t="s">
        <v>164</v>
      </c>
      <c r="C66" t="s">
        <v>169</v>
      </c>
      <c r="D66" t="s">
        <v>491</v>
      </c>
      <c r="E66" s="2" t="s">
        <v>492</v>
      </c>
      <c r="F66" s="2" t="s">
        <v>493</v>
      </c>
      <c r="G66" t="s">
        <v>289</v>
      </c>
      <c r="H66" t="s">
        <v>272</v>
      </c>
      <c r="I66" s="2" t="s">
        <v>494</v>
      </c>
      <c r="K66" t="s">
        <v>257</v>
      </c>
      <c r="O66" t="b">
        <v>0</v>
      </c>
      <c r="P66" t="s">
        <v>294</v>
      </c>
      <c r="Q66" s="2" t="s">
        <v>499</v>
      </c>
      <c r="R66" s="2" t="s">
        <v>500</v>
      </c>
      <c r="S66" t="s">
        <v>402</v>
      </c>
      <c r="T66" t="s">
        <v>262</v>
      </c>
      <c r="U66">
        <v>1</v>
      </c>
      <c r="V66">
        <v>1</v>
      </c>
    </row>
    <row r="67" spans="1:22" ht="225" x14ac:dyDescent="0.25">
      <c r="A67" t="s">
        <v>170</v>
      </c>
      <c r="B67" t="s">
        <v>164</v>
      </c>
      <c r="C67" t="s">
        <v>171</v>
      </c>
      <c r="D67" t="s">
        <v>491</v>
      </c>
      <c r="E67" s="2" t="s">
        <v>492</v>
      </c>
      <c r="F67" s="2" t="s">
        <v>493</v>
      </c>
      <c r="G67" t="s">
        <v>289</v>
      </c>
      <c r="H67" t="s">
        <v>272</v>
      </c>
      <c r="I67" s="2" t="s">
        <v>494</v>
      </c>
      <c r="K67" t="s">
        <v>257</v>
      </c>
      <c r="O67" t="b">
        <v>0</v>
      </c>
      <c r="P67" t="s">
        <v>294</v>
      </c>
      <c r="Q67" s="2" t="s">
        <v>501</v>
      </c>
      <c r="R67" s="2" t="s">
        <v>502</v>
      </c>
      <c r="S67" t="s">
        <v>402</v>
      </c>
      <c r="T67" t="s">
        <v>262</v>
      </c>
      <c r="U67">
        <v>1</v>
      </c>
      <c r="V67">
        <v>1</v>
      </c>
    </row>
    <row r="68" spans="1:22" ht="225" x14ac:dyDescent="0.25">
      <c r="A68" t="s">
        <v>172</v>
      </c>
      <c r="B68" t="s">
        <v>164</v>
      </c>
      <c r="C68" t="s">
        <v>173</v>
      </c>
      <c r="D68" t="s">
        <v>491</v>
      </c>
      <c r="E68" s="2" t="s">
        <v>492</v>
      </c>
      <c r="F68" s="2" t="s">
        <v>493</v>
      </c>
      <c r="G68" t="s">
        <v>289</v>
      </c>
      <c r="H68" t="s">
        <v>272</v>
      </c>
      <c r="I68" s="2" t="s">
        <v>494</v>
      </c>
      <c r="K68" t="s">
        <v>257</v>
      </c>
      <c r="O68" t="b">
        <v>0</v>
      </c>
      <c r="P68" t="s">
        <v>294</v>
      </c>
      <c r="Q68" s="2" t="s">
        <v>503</v>
      </c>
      <c r="R68" s="2" t="s">
        <v>504</v>
      </c>
      <c r="S68" t="s">
        <v>402</v>
      </c>
      <c r="T68" t="s">
        <v>262</v>
      </c>
      <c r="U68">
        <v>1</v>
      </c>
      <c r="V68">
        <v>1</v>
      </c>
    </row>
    <row r="69" spans="1:22" ht="225" x14ac:dyDescent="0.25">
      <c r="A69" t="s">
        <v>174</v>
      </c>
      <c r="B69" t="s">
        <v>164</v>
      </c>
      <c r="C69" t="s">
        <v>175</v>
      </c>
      <c r="D69" t="s">
        <v>491</v>
      </c>
      <c r="E69" s="2" t="s">
        <v>492</v>
      </c>
      <c r="F69" s="2" t="s">
        <v>493</v>
      </c>
      <c r="G69" t="s">
        <v>289</v>
      </c>
      <c r="H69" t="s">
        <v>272</v>
      </c>
      <c r="I69" s="2" t="s">
        <v>494</v>
      </c>
      <c r="K69" t="s">
        <v>257</v>
      </c>
      <c r="O69" t="b">
        <v>0</v>
      </c>
      <c r="P69" t="s">
        <v>294</v>
      </c>
      <c r="Q69" s="2" t="s">
        <v>505</v>
      </c>
      <c r="R69" s="2" t="s">
        <v>506</v>
      </c>
      <c r="S69" t="s">
        <v>402</v>
      </c>
      <c r="T69" t="s">
        <v>262</v>
      </c>
      <c r="U69">
        <v>1</v>
      </c>
      <c r="V69">
        <v>1</v>
      </c>
    </row>
    <row r="70" spans="1:22" ht="240" x14ac:dyDescent="0.25">
      <c r="A70" t="s">
        <v>176</v>
      </c>
      <c r="B70" t="s">
        <v>164</v>
      </c>
      <c r="C70" t="s">
        <v>177</v>
      </c>
      <c r="D70" t="s">
        <v>491</v>
      </c>
      <c r="E70" s="2" t="s">
        <v>492</v>
      </c>
      <c r="F70" s="2" t="s">
        <v>493</v>
      </c>
      <c r="G70" t="s">
        <v>289</v>
      </c>
      <c r="H70" t="s">
        <v>272</v>
      </c>
      <c r="I70" s="2" t="s">
        <v>494</v>
      </c>
      <c r="K70" t="s">
        <v>257</v>
      </c>
      <c r="O70" t="b">
        <v>0</v>
      </c>
      <c r="P70" t="s">
        <v>294</v>
      </c>
      <c r="Q70" s="2" t="s">
        <v>507</v>
      </c>
      <c r="R70" s="2" t="s">
        <v>508</v>
      </c>
      <c r="S70" t="s">
        <v>402</v>
      </c>
      <c r="T70" t="s">
        <v>262</v>
      </c>
      <c r="U70">
        <v>1</v>
      </c>
      <c r="V70">
        <v>1</v>
      </c>
    </row>
    <row r="71" spans="1:22" ht="105" x14ac:dyDescent="0.25">
      <c r="A71" t="s">
        <v>178</v>
      </c>
      <c r="B71" t="s">
        <v>164</v>
      </c>
      <c r="C71" t="s">
        <v>179</v>
      </c>
      <c r="D71" t="s">
        <v>491</v>
      </c>
      <c r="E71" s="2" t="s">
        <v>492</v>
      </c>
      <c r="F71" s="2" t="s">
        <v>493</v>
      </c>
      <c r="G71" t="s">
        <v>289</v>
      </c>
      <c r="H71" t="s">
        <v>272</v>
      </c>
      <c r="I71" s="2" t="s">
        <v>494</v>
      </c>
      <c r="J71">
        <v>1</v>
      </c>
      <c r="K71" t="s">
        <v>304</v>
      </c>
      <c r="O71" t="b">
        <v>0</v>
      </c>
      <c r="P71" t="s">
        <v>294</v>
      </c>
      <c r="Q71" s="2" t="s">
        <v>509</v>
      </c>
      <c r="R71" s="2" t="s">
        <v>510</v>
      </c>
      <c r="S71" t="s">
        <v>402</v>
      </c>
      <c r="T71" t="s">
        <v>262</v>
      </c>
      <c r="U71">
        <v>1</v>
      </c>
      <c r="V71">
        <v>1</v>
      </c>
    </row>
    <row r="72" spans="1:22" ht="90" x14ac:dyDescent="0.25">
      <c r="A72" t="s">
        <v>180</v>
      </c>
      <c r="B72" t="s">
        <v>181</v>
      </c>
      <c r="C72" t="s">
        <v>182</v>
      </c>
      <c r="D72" t="s">
        <v>511</v>
      </c>
      <c r="E72" s="2" t="s">
        <v>512</v>
      </c>
      <c r="F72" s="2" t="s">
        <v>513</v>
      </c>
      <c r="G72" t="s">
        <v>332</v>
      </c>
      <c r="H72" t="s">
        <v>272</v>
      </c>
      <c r="I72" s="2" t="s">
        <v>514</v>
      </c>
      <c r="K72" t="s">
        <v>292</v>
      </c>
      <c r="O72" t="b">
        <v>0</v>
      </c>
      <c r="P72" t="s">
        <v>515</v>
      </c>
      <c r="Q72" s="2" t="s">
        <v>516</v>
      </c>
      <c r="R72" s="2" t="s">
        <v>517</v>
      </c>
      <c r="S72" t="s">
        <v>402</v>
      </c>
      <c r="T72" t="s">
        <v>262</v>
      </c>
      <c r="U72">
        <v>1</v>
      </c>
      <c r="V72">
        <v>1</v>
      </c>
    </row>
    <row r="73" spans="1:22" ht="90" x14ac:dyDescent="0.25">
      <c r="A73" t="s">
        <v>183</v>
      </c>
      <c r="B73" t="s">
        <v>181</v>
      </c>
      <c r="C73" t="s">
        <v>184</v>
      </c>
      <c r="D73" t="s">
        <v>511</v>
      </c>
      <c r="E73" s="2" t="s">
        <v>512</v>
      </c>
      <c r="F73" s="2" t="s">
        <v>513</v>
      </c>
      <c r="G73" t="s">
        <v>332</v>
      </c>
      <c r="H73" t="s">
        <v>272</v>
      </c>
      <c r="I73" s="2" t="s">
        <v>514</v>
      </c>
      <c r="K73" t="s">
        <v>292</v>
      </c>
      <c r="O73" t="b">
        <v>0</v>
      </c>
      <c r="P73" t="s">
        <v>515</v>
      </c>
      <c r="Q73" s="2" t="s">
        <v>516</v>
      </c>
      <c r="R73" s="2" t="s">
        <v>518</v>
      </c>
      <c r="S73" t="s">
        <v>402</v>
      </c>
      <c r="T73" t="s">
        <v>262</v>
      </c>
      <c r="U73">
        <v>1</v>
      </c>
      <c r="V73">
        <v>1</v>
      </c>
    </row>
    <row r="74" spans="1:22" ht="90" x14ac:dyDescent="0.25">
      <c r="A74" t="s">
        <v>185</v>
      </c>
      <c r="B74" t="s">
        <v>181</v>
      </c>
      <c r="C74" t="s">
        <v>186</v>
      </c>
      <c r="D74" t="s">
        <v>511</v>
      </c>
      <c r="E74" s="2" t="s">
        <v>512</v>
      </c>
      <c r="F74" s="2" t="s">
        <v>513</v>
      </c>
      <c r="G74" t="s">
        <v>332</v>
      </c>
      <c r="H74" t="s">
        <v>272</v>
      </c>
      <c r="I74" s="2" t="s">
        <v>514</v>
      </c>
      <c r="K74" t="s">
        <v>292</v>
      </c>
      <c r="O74" t="b">
        <v>0</v>
      </c>
      <c r="P74" t="s">
        <v>515</v>
      </c>
      <c r="Q74" s="2" t="s">
        <v>516</v>
      </c>
      <c r="R74" s="2" t="s">
        <v>519</v>
      </c>
      <c r="S74" t="s">
        <v>402</v>
      </c>
      <c r="T74" t="s">
        <v>262</v>
      </c>
      <c r="U74">
        <v>1</v>
      </c>
      <c r="V74">
        <v>1</v>
      </c>
    </row>
    <row r="75" spans="1:22" ht="90" x14ac:dyDescent="0.25">
      <c r="A75" t="s">
        <v>187</v>
      </c>
      <c r="B75" t="s">
        <v>181</v>
      </c>
      <c r="C75" t="s">
        <v>188</v>
      </c>
      <c r="D75" t="s">
        <v>511</v>
      </c>
      <c r="E75" s="2" t="s">
        <v>512</v>
      </c>
      <c r="F75" s="2" t="s">
        <v>513</v>
      </c>
      <c r="G75" t="s">
        <v>332</v>
      </c>
      <c r="H75" t="s">
        <v>272</v>
      </c>
      <c r="I75" s="2" t="s">
        <v>514</v>
      </c>
      <c r="K75" t="s">
        <v>292</v>
      </c>
      <c r="O75" t="b">
        <v>0</v>
      </c>
      <c r="P75" t="s">
        <v>515</v>
      </c>
      <c r="Q75" s="2" t="s">
        <v>516</v>
      </c>
      <c r="R75" s="2" t="s">
        <v>520</v>
      </c>
      <c r="S75" t="s">
        <v>402</v>
      </c>
      <c r="T75" t="s">
        <v>262</v>
      </c>
      <c r="U75">
        <v>1</v>
      </c>
      <c r="V75">
        <v>1</v>
      </c>
    </row>
    <row r="76" spans="1:22" ht="90" x14ac:dyDescent="0.25">
      <c r="A76" t="s">
        <v>189</v>
      </c>
      <c r="B76" t="s">
        <v>181</v>
      </c>
      <c r="C76" t="s">
        <v>190</v>
      </c>
      <c r="D76" t="s">
        <v>511</v>
      </c>
      <c r="E76" s="2" t="s">
        <v>512</v>
      </c>
      <c r="F76" s="2" t="s">
        <v>513</v>
      </c>
      <c r="G76" t="s">
        <v>332</v>
      </c>
      <c r="H76" t="s">
        <v>272</v>
      </c>
      <c r="I76" s="2" t="s">
        <v>514</v>
      </c>
      <c r="K76" t="s">
        <v>292</v>
      </c>
      <c r="O76" t="b">
        <v>0</v>
      </c>
      <c r="P76" t="s">
        <v>515</v>
      </c>
      <c r="Q76" s="2" t="s">
        <v>516</v>
      </c>
      <c r="R76" s="2" t="s">
        <v>521</v>
      </c>
      <c r="S76" t="s">
        <v>402</v>
      </c>
      <c r="T76" t="s">
        <v>262</v>
      </c>
      <c r="U76">
        <v>1</v>
      </c>
      <c r="V76">
        <v>1</v>
      </c>
    </row>
    <row r="77" spans="1:22" ht="90" x14ac:dyDescent="0.25">
      <c r="A77" t="s">
        <v>191</v>
      </c>
      <c r="B77" t="s">
        <v>181</v>
      </c>
      <c r="C77" t="s">
        <v>192</v>
      </c>
      <c r="D77" t="s">
        <v>511</v>
      </c>
      <c r="E77" s="2" t="s">
        <v>512</v>
      </c>
      <c r="F77" s="2" t="s">
        <v>513</v>
      </c>
      <c r="G77" t="s">
        <v>332</v>
      </c>
      <c r="H77" t="s">
        <v>272</v>
      </c>
      <c r="I77" s="2" t="s">
        <v>514</v>
      </c>
      <c r="K77" t="s">
        <v>292</v>
      </c>
      <c r="O77" t="b">
        <v>0</v>
      </c>
      <c r="P77" t="s">
        <v>515</v>
      </c>
      <c r="Q77" s="2" t="s">
        <v>516</v>
      </c>
      <c r="R77" s="2" t="s">
        <v>522</v>
      </c>
      <c r="S77" t="s">
        <v>402</v>
      </c>
      <c r="T77" t="s">
        <v>262</v>
      </c>
      <c r="U77">
        <v>1</v>
      </c>
      <c r="V77">
        <v>1</v>
      </c>
    </row>
    <row r="78" spans="1:22" ht="90" x14ac:dyDescent="0.25">
      <c r="A78" t="s">
        <v>193</v>
      </c>
      <c r="B78" t="s">
        <v>181</v>
      </c>
      <c r="C78" t="s">
        <v>194</v>
      </c>
      <c r="D78" t="s">
        <v>511</v>
      </c>
      <c r="E78" s="2" t="s">
        <v>512</v>
      </c>
      <c r="F78" s="2" t="s">
        <v>513</v>
      </c>
      <c r="G78" t="s">
        <v>332</v>
      </c>
      <c r="H78" t="s">
        <v>272</v>
      </c>
      <c r="I78" s="2" t="s">
        <v>514</v>
      </c>
      <c r="K78" t="s">
        <v>292</v>
      </c>
      <c r="O78" t="b">
        <v>0</v>
      </c>
      <c r="P78" t="s">
        <v>515</v>
      </c>
      <c r="Q78" s="2" t="s">
        <v>516</v>
      </c>
      <c r="R78" s="2" t="s">
        <v>523</v>
      </c>
      <c r="S78" t="s">
        <v>402</v>
      </c>
      <c r="T78" t="s">
        <v>262</v>
      </c>
      <c r="U78">
        <v>1</v>
      </c>
      <c r="V78">
        <v>1</v>
      </c>
    </row>
    <row r="79" spans="1:22" ht="90" x14ac:dyDescent="0.25">
      <c r="A79" t="s">
        <v>195</v>
      </c>
      <c r="B79" t="s">
        <v>181</v>
      </c>
      <c r="C79" t="s">
        <v>196</v>
      </c>
      <c r="D79" t="s">
        <v>511</v>
      </c>
      <c r="E79" s="2" t="s">
        <v>512</v>
      </c>
      <c r="F79" s="2" t="s">
        <v>513</v>
      </c>
      <c r="G79" t="s">
        <v>332</v>
      </c>
      <c r="H79" t="s">
        <v>272</v>
      </c>
      <c r="I79" s="2" t="s">
        <v>514</v>
      </c>
      <c r="K79" t="s">
        <v>292</v>
      </c>
      <c r="O79" t="b">
        <v>0</v>
      </c>
      <c r="P79" t="s">
        <v>515</v>
      </c>
      <c r="Q79" s="2" t="s">
        <v>516</v>
      </c>
      <c r="R79" s="2" t="s">
        <v>524</v>
      </c>
      <c r="S79" t="s">
        <v>402</v>
      </c>
      <c r="T79" t="s">
        <v>262</v>
      </c>
      <c r="U79">
        <v>1</v>
      </c>
      <c r="V79">
        <v>1</v>
      </c>
    </row>
    <row r="80" spans="1:22" ht="90" x14ac:dyDescent="0.25">
      <c r="A80" t="s">
        <v>197</v>
      </c>
      <c r="B80" t="s">
        <v>181</v>
      </c>
      <c r="C80" t="s">
        <v>198</v>
      </c>
      <c r="D80" t="s">
        <v>511</v>
      </c>
      <c r="E80" s="2" t="s">
        <v>512</v>
      </c>
      <c r="F80" s="2" t="s">
        <v>513</v>
      </c>
      <c r="G80" t="s">
        <v>332</v>
      </c>
      <c r="H80" t="s">
        <v>272</v>
      </c>
      <c r="I80" s="2" t="s">
        <v>514</v>
      </c>
      <c r="K80" t="s">
        <v>292</v>
      </c>
      <c r="O80" t="b">
        <v>0</v>
      </c>
      <c r="P80" t="s">
        <v>515</v>
      </c>
      <c r="Q80" s="2" t="s">
        <v>516</v>
      </c>
      <c r="R80" s="2" t="s">
        <v>525</v>
      </c>
      <c r="S80" t="s">
        <v>402</v>
      </c>
      <c r="T80" t="s">
        <v>262</v>
      </c>
      <c r="U80">
        <v>1</v>
      </c>
      <c r="V80">
        <v>1</v>
      </c>
    </row>
    <row r="81" spans="1:22" ht="90" x14ac:dyDescent="0.25">
      <c r="A81" t="s">
        <v>199</v>
      </c>
      <c r="B81" t="s">
        <v>181</v>
      </c>
      <c r="C81" t="s">
        <v>200</v>
      </c>
      <c r="D81" t="s">
        <v>511</v>
      </c>
      <c r="E81" s="2" t="s">
        <v>512</v>
      </c>
      <c r="F81" s="2" t="s">
        <v>513</v>
      </c>
      <c r="G81" t="s">
        <v>332</v>
      </c>
      <c r="H81" t="s">
        <v>272</v>
      </c>
      <c r="I81" s="2" t="s">
        <v>514</v>
      </c>
      <c r="K81" t="s">
        <v>292</v>
      </c>
      <c r="O81" t="b">
        <v>0</v>
      </c>
      <c r="P81" t="s">
        <v>515</v>
      </c>
      <c r="Q81" s="2" t="s">
        <v>516</v>
      </c>
      <c r="R81" s="2" t="s">
        <v>526</v>
      </c>
      <c r="S81" t="s">
        <v>402</v>
      </c>
      <c r="T81" t="s">
        <v>262</v>
      </c>
      <c r="U81">
        <v>1</v>
      </c>
      <c r="V81">
        <v>1</v>
      </c>
    </row>
    <row r="82" spans="1:22" ht="90" x14ac:dyDescent="0.25">
      <c r="A82" t="s">
        <v>201</v>
      </c>
      <c r="B82" t="s">
        <v>181</v>
      </c>
      <c r="C82" t="s">
        <v>202</v>
      </c>
      <c r="D82" t="s">
        <v>511</v>
      </c>
      <c r="E82" s="2" t="s">
        <v>512</v>
      </c>
      <c r="F82" s="2" t="s">
        <v>513</v>
      </c>
      <c r="G82" t="s">
        <v>332</v>
      </c>
      <c r="H82" t="s">
        <v>272</v>
      </c>
      <c r="I82" s="2" t="s">
        <v>514</v>
      </c>
      <c r="K82" t="s">
        <v>292</v>
      </c>
      <c r="O82" t="b">
        <v>0</v>
      </c>
      <c r="P82" t="s">
        <v>515</v>
      </c>
      <c r="Q82" s="2" t="s">
        <v>516</v>
      </c>
      <c r="R82" s="2" t="s">
        <v>527</v>
      </c>
      <c r="S82" t="s">
        <v>402</v>
      </c>
      <c r="T82" t="s">
        <v>262</v>
      </c>
      <c r="U82">
        <v>1</v>
      </c>
      <c r="V82">
        <v>1</v>
      </c>
    </row>
    <row r="83" spans="1:22" ht="90" x14ac:dyDescent="0.25">
      <c r="A83" t="s">
        <v>203</v>
      </c>
      <c r="B83" t="s">
        <v>181</v>
      </c>
      <c r="C83" t="s">
        <v>204</v>
      </c>
      <c r="D83" t="s">
        <v>511</v>
      </c>
      <c r="E83" s="2" t="s">
        <v>512</v>
      </c>
      <c r="F83" s="2" t="s">
        <v>513</v>
      </c>
      <c r="G83" t="s">
        <v>332</v>
      </c>
      <c r="H83" t="s">
        <v>272</v>
      </c>
      <c r="I83" s="2" t="s">
        <v>514</v>
      </c>
      <c r="K83" t="s">
        <v>292</v>
      </c>
      <c r="O83" t="b">
        <v>0</v>
      </c>
      <c r="P83" t="s">
        <v>515</v>
      </c>
      <c r="Q83" s="2" t="s">
        <v>516</v>
      </c>
      <c r="R83" s="2" t="s">
        <v>528</v>
      </c>
      <c r="S83" t="s">
        <v>402</v>
      </c>
      <c r="T83" t="s">
        <v>262</v>
      </c>
      <c r="U83">
        <v>1</v>
      </c>
      <c r="V83">
        <v>1</v>
      </c>
    </row>
    <row r="84" spans="1:22" ht="90" x14ac:dyDescent="0.25">
      <c r="A84" t="s">
        <v>205</v>
      </c>
      <c r="B84" t="s">
        <v>181</v>
      </c>
      <c r="C84" t="s">
        <v>206</v>
      </c>
      <c r="D84" t="s">
        <v>511</v>
      </c>
      <c r="E84" s="2" t="s">
        <v>512</v>
      </c>
      <c r="F84" s="2" t="s">
        <v>513</v>
      </c>
      <c r="G84" t="s">
        <v>332</v>
      </c>
      <c r="H84" t="s">
        <v>272</v>
      </c>
      <c r="I84" s="2" t="s">
        <v>514</v>
      </c>
      <c r="K84" t="s">
        <v>292</v>
      </c>
      <c r="O84" t="b">
        <v>0</v>
      </c>
      <c r="P84" t="s">
        <v>515</v>
      </c>
      <c r="Q84" s="2" t="s">
        <v>516</v>
      </c>
      <c r="R84" s="2" t="s">
        <v>529</v>
      </c>
      <c r="S84" t="s">
        <v>402</v>
      </c>
      <c r="T84" t="s">
        <v>262</v>
      </c>
      <c r="U84">
        <v>1</v>
      </c>
      <c r="V84">
        <v>1</v>
      </c>
    </row>
    <row r="85" spans="1:22" ht="90" x14ac:dyDescent="0.25">
      <c r="A85" t="s">
        <v>207</v>
      </c>
      <c r="B85" t="s">
        <v>181</v>
      </c>
      <c r="C85" t="s">
        <v>208</v>
      </c>
      <c r="D85" t="s">
        <v>511</v>
      </c>
      <c r="E85" s="2" t="s">
        <v>512</v>
      </c>
      <c r="F85" s="2" t="s">
        <v>513</v>
      </c>
      <c r="G85" t="s">
        <v>332</v>
      </c>
      <c r="H85" t="s">
        <v>272</v>
      </c>
      <c r="I85" s="2" t="s">
        <v>514</v>
      </c>
      <c r="K85" t="s">
        <v>292</v>
      </c>
      <c r="O85" t="b">
        <v>0</v>
      </c>
      <c r="P85" t="s">
        <v>515</v>
      </c>
      <c r="Q85" s="2" t="s">
        <v>516</v>
      </c>
      <c r="R85" s="2" t="s">
        <v>530</v>
      </c>
      <c r="S85" t="s">
        <v>402</v>
      </c>
      <c r="T85" t="s">
        <v>262</v>
      </c>
      <c r="U85">
        <v>1</v>
      </c>
      <c r="V85">
        <v>1</v>
      </c>
    </row>
    <row r="86" spans="1:22" ht="90" x14ac:dyDescent="0.25">
      <c r="A86" t="s">
        <v>209</v>
      </c>
      <c r="B86" t="s">
        <v>181</v>
      </c>
      <c r="C86" t="s">
        <v>210</v>
      </c>
      <c r="D86" t="s">
        <v>511</v>
      </c>
      <c r="E86" s="2" t="s">
        <v>512</v>
      </c>
      <c r="F86" s="2" t="s">
        <v>513</v>
      </c>
      <c r="G86" t="s">
        <v>332</v>
      </c>
      <c r="H86" t="s">
        <v>272</v>
      </c>
      <c r="I86" s="2" t="s">
        <v>514</v>
      </c>
      <c r="K86" t="s">
        <v>292</v>
      </c>
      <c r="O86" t="b">
        <v>0</v>
      </c>
      <c r="P86" t="s">
        <v>515</v>
      </c>
      <c r="Q86" s="2" t="s">
        <v>516</v>
      </c>
      <c r="R86" s="2" t="s">
        <v>531</v>
      </c>
      <c r="S86" t="s">
        <v>402</v>
      </c>
      <c r="T86" t="s">
        <v>262</v>
      </c>
      <c r="U86">
        <v>1</v>
      </c>
      <c r="V86">
        <v>1</v>
      </c>
    </row>
    <row r="87" spans="1:22" ht="90" x14ac:dyDescent="0.25">
      <c r="A87" t="s">
        <v>211</v>
      </c>
      <c r="B87" t="s">
        <v>181</v>
      </c>
      <c r="C87" t="s">
        <v>212</v>
      </c>
      <c r="D87" t="s">
        <v>511</v>
      </c>
      <c r="E87" s="2" t="s">
        <v>512</v>
      </c>
      <c r="F87" s="2" t="s">
        <v>513</v>
      </c>
      <c r="G87" t="s">
        <v>332</v>
      </c>
      <c r="H87" t="s">
        <v>272</v>
      </c>
      <c r="I87" s="2" t="s">
        <v>514</v>
      </c>
      <c r="K87" t="s">
        <v>292</v>
      </c>
      <c r="O87" t="b">
        <v>0</v>
      </c>
      <c r="P87" t="s">
        <v>515</v>
      </c>
      <c r="Q87" s="2" t="s">
        <v>516</v>
      </c>
      <c r="R87" s="2" t="s">
        <v>532</v>
      </c>
      <c r="S87" t="s">
        <v>402</v>
      </c>
      <c r="T87" t="s">
        <v>262</v>
      </c>
      <c r="U87">
        <v>1</v>
      </c>
      <c r="V87">
        <v>1</v>
      </c>
    </row>
    <row r="88" spans="1:22" ht="150" x14ac:dyDescent="0.25">
      <c r="A88" t="s">
        <v>213</v>
      </c>
      <c r="B88" t="s">
        <v>214</v>
      </c>
      <c r="C88" t="s">
        <v>215</v>
      </c>
      <c r="D88" t="s">
        <v>533</v>
      </c>
      <c r="E88" s="2" t="s">
        <v>534</v>
      </c>
      <c r="F88" s="2" t="s">
        <v>535</v>
      </c>
      <c r="G88" t="s">
        <v>343</v>
      </c>
      <c r="H88" t="s">
        <v>333</v>
      </c>
      <c r="I88" s="2" t="s">
        <v>536</v>
      </c>
      <c r="K88" t="s">
        <v>320</v>
      </c>
      <c r="M88">
        <v>60</v>
      </c>
      <c r="N88" s="2" t="s">
        <v>537</v>
      </c>
      <c r="O88" t="b">
        <v>1</v>
      </c>
      <c r="P88" t="s">
        <v>369</v>
      </c>
      <c r="Q88" s="2" t="s">
        <v>538</v>
      </c>
      <c r="R88" s="2" t="s">
        <v>539</v>
      </c>
      <c r="S88" t="s">
        <v>297</v>
      </c>
      <c r="T88" t="s">
        <v>262</v>
      </c>
      <c r="U88">
        <v>1</v>
      </c>
      <c r="V88">
        <v>3</v>
      </c>
    </row>
    <row r="89" spans="1:22" ht="375" x14ac:dyDescent="0.25">
      <c r="A89" t="s">
        <v>216</v>
      </c>
      <c r="B89" t="s">
        <v>217</v>
      </c>
      <c r="C89" t="s">
        <v>218</v>
      </c>
      <c r="D89" t="s">
        <v>540</v>
      </c>
      <c r="E89" s="2" t="s">
        <v>541</v>
      </c>
      <c r="F89" s="2" t="s">
        <v>542</v>
      </c>
      <c r="G89" t="s">
        <v>289</v>
      </c>
      <c r="H89" t="s">
        <v>543</v>
      </c>
      <c r="I89" s="2" t="s">
        <v>544</v>
      </c>
      <c r="J89">
        <v>1</v>
      </c>
      <c r="K89" t="s">
        <v>304</v>
      </c>
      <c r="N89" s="2" t="s">
        <v>314</v>
      </c>
      <c r="O89" t="b">
        <v>0</v>
      </c>
      <c r="P89" t="s">
        <v>294</v>
      </c>
      <c r="Q89" s="2" t="s">
        <v>545</v>
      </c>
      <c r="R89" s="2" t="s">
        <v>546</v>
      </c>
      <c r="S89" t="s">
        <v>261</v>
      </c>
      <c r="T89" t="s">
        <v>547</v>
      </c>
      <c r="V89">
        <v>1</v>
      </c>
    </row>
    <row r="90" spans="1:22" ht="375" x14ac:dyDescent="0.25">
      <c r="A90" t="s">
        <v>219</v>
      </c>
      <c r="B90" t="s">
        <v>217</v>
      </c>
      <c r="C90" t="s">
        <v>220</v>
      </c>
      <c r="D90" t="s">
        <v>540</v>
      </c>
      <c r="E90" s="2" t="s">
        <v>541</v>
      </c>
      <c r="F90" s="2" t="s">
        <v>542</v>
      </c>
      <c r="G90" t="s">
        <v>289</v>
      </c>
      <c r="H90" t="s">
        <v>543</v>
      </c>
      <c r="I90" s="2" t="s">
        <v>544</v>
      </c>
      <c r="J90">
        <v>1</v>
      </c>
      <c r="K90" t="s">
        <v>304</v>
      </c>
      <c r="N90" s="2" t="s">
        <v>314</v>
      </c>
      <c r="O90" t="b">
        <v>0</v>
      </c>
      <c r="P90" t="s">
        <v>294</v>
      </c>
      <c r="Q90" s="2" t="s">
        <v>545</v>
      </c>
      <c r="R90" s="2" t="s">
        <v>546</v>
      </c>
      <c r="S90" t="s">
        <v>261</v>
      </c>
      <c r="T90" t="s">
        <v>547</v>
      </c>
      <c r="V90">
        <v>1</v>
      </c>
    </row>
    <row r="91" spans="1:22" ht="375" x14ac:dyDescent="0.25">
      <c r="A91" t="s">
        <v>221</v>
      </c>
      <c r="B91" t="s">
        <v>217</v>
      </c>
      <c r="C91" t="s">
        <v>222</v>
      </c>
      <c r="D91" t="s">
        <v>540</v>
      </c>
      <c r="E91" s="2" t="s">
        <v>541</v>
      </c>
      <c r="F91" s="2" t="s">
        <v>542</v>
      </c>
      <c r="G91" t="s">
        <v>289</v>
      </c>
      <c r="H91" t="s">
        <v>543</v>
      </c>
      <c r="I91" s="2" t="s">
        <v>544</v>
      </c>
      <c r="J91">
        <v>1</v>
      </c>
      <c r="K91" t="s">
        <v>304</v>
      </c>
      <c r="N91" s="2" t="s">
        <v>314</v>
      </c>
      <c r="O91" t="b">
        <v>0</v>
      </c>
      <c r="P91" t="s">
        <v>294</v>
      </c>
      <c r="Q91" s="2" t="s">
        <v>545</v>
      </c>
      <c r="R91" s="2" t="s">
        <v>546</v>
      </c>
      <c r="S91" t="s">
        <v>261</v>
      </c>
      <c r="T91" t="s">
        <v>547</v>
      </c>
      <c r="V91">
        <v>1</v>
      </c>
    </row>
    <row r="92" spans="1:22" ht="375" x14ac:dyDescent="0.25">
      <c r="A92" t="s">
        <v>223</v>
      </c>
      <c r="B92" t="s">
        <v>217</v>
      </c>
      <c r="C92" t="s">
        <v>224</v>
      </c>
      <c r="D92" t="s">
        <v>540</v>
      </c>
      <c r="E92" s="2" t="s">
        <v>541</v>
      </c>
      <c r="F92" s="2" t="s">
        <v>542</v>
      </c>
      <c r="G92" t="s">
        <v>289</v>
      </c>
      <c r="H92" t="s">
        <v>543</v>
      </c>
      <c r="I92" s="2" t="s">
        <v>544</v>
      </c>
      <c r="J92">
        <v>1</v>
      </c>
      <c r="K92" t="s">
        <v>304</v>
      </c>
      <c r="N92" s="2" t="s">
        <v>314</v>
      </c>
      <c r="O92" t="b">
        <v>0</v>
      </c>
      <c r="P92" t="s">
        <v>294</v>
      </c>
      <c r="Q92" s="2" t="s">
        <v>545</v>
      </c>
      <c r="R92" s="2" t="s">
        <v>546</v>
      </c>
      <c r="S92" t="s">
        <v>261</v>
      </c>
      <c r="T92" t="s">
        <v>547</v>
      </c>
      <c r="V92">
        <v>1</v>
      </c>
    </row>
    <row r="93" spans="1:22" ht="375" x14ac:dyDescent="0.25">
      <c r="A93" t="s">
        <v>225</v>
      </c>
      <c r="B93" t="s">
        <v>217</v>
      </c>
      <c r="C93" t="s">
        <v>226</v>
      </c>
      <c r="D93" t="s">
        <v>540</v>
      </c>
      <c r="E93" s="2" t="s">
        <v>541</v>
      </c>
      <c r="F93" s="2" t="s">
        <v>542</v>
      </c>
      <c r="G93" t="s">
        <v>289</v>
      </c>
      <c r="H93" t="s">
        <v>543</v>
      </c>
      <c r="I93" s="2" t="s">
        <v>544</v>
      </c>
      <c r="J93">
        <v>1</v>
      </c>
      <c r="K93" t="s">
        <v>304</v>
      </c>
      <c r="N93" s="2" t="s">
        <v>314</v>
      </c>
      <c r="O93" t="b">
        <v>0</v>
      </c>
      <c r="P93" t="s">
        <v>294</v>
      </c>
      <c r="Q93" s="2" t="s">
        <v>545</v>
      </c>
      <c r="R93" s="2" t="s">
        <v>546</v>
      </c>
      <c r="S93" t="s">
        <v>261</v>
      </c>
      <c r="T93" t="s">
        <v>547</v>
      </c>
      <c r="V93">
        <v>1</v>
      </c>
    </row>
    <row r="94" spans="1:22" ht="375" x14ac:dyDescent="0.25">
      <c r="A94" t="s">
        <v>227</v>
      </c>
      <c r="B94" t="s">
        <v>217</v>
      </c>
      <c r="C94" t="s">
        <v>228</v>
      </c>
      <c r="D94" t="s">
        <v>540</v>
      </c>
      <c r="E94" s="2" t="s">
        <v>541</v>
      </c>
      <c r="F94" s="2" t="s">
        <v>542</v>
      </c>
      <c r="G94" t="s">
        <v>289</v>
      </c>
      <c r="H94" t="s">
        <v>543</v>
      </c>
      <c r="I94" s="2" t="s">
        <v>544</v>
      </c>
      <c r="J94">
        <v>1</v>
      </c>
      <c r="K94" t="s">
        <v>304</v>
      </c>
      <c r="N94" s="2" t="s">
        <v>314</v>
      </c>
      <c r="O94" t="b">
        <v>0</v>
      </c>
      <c r="P94" t="s">
        <v>294</v>
      </c>
      <c r="Q94" s="2" t="s">
        <v>545</v>
      </c>
      <c r="R94" s="2" t="s">
        <v>546</v>
      </c>
      <c r="S94" t="s">
        <v>261</v>
      </c>
      <c r="T94" t="s">
        <v>547</v>
      </c>
      <c r="V94">
        <v>1</v>
      </c>
    </row>
    <row r="95" spans="1:22" ht="375" x14ac:dyDescent="0.25">
      <c r="A95" t="s">
        <v>229</v>
      </c>
      <c r="B95" t="s">
        <v>217</v>
      </c>
      <c r="C95" t="s">
        <v>230</v>
      </c>
      <c r="D95" t="s">
        <v>540</v>
      </c>
      <c r="E95" s="2" t="s">
        <v>541</v>
      </c>
      <c r="F95" s="2" t="s">
        <v>542</v>
      </c>
      <c r="G95" t="s">
        <v>289</v>
      </c>
      <c r="H95" t="s">
        <v>543</v>
      </c>
      <c r="I95" s="2" t="s">
        <v>544</v>
      </c>
      <c r="J95">
        <v>1</v>
      </c>
      <c r="K95" t="s">
        <v>304</v>
      </c>
      <c r="N95" s="2" t="s">
        <v>314</v>
      </c>
      <c r="O95" t="b">
        <v>0</v>
      </c>
      <c r="P95" t="s">
        <v>294</v>
      </c>
      <c r="Q95" s="2" t="s">
        <v>545</v>
      </c>
      <c r="R95" s="2" t="s">
        <v>546</v>
      </c>
      <c r="S95" t="s">
        <v>261</v>
      </c>
      <c r="T95" t="s">
        <v>547</v>
      </c>
      <c r="V95">
        <v>1</v>
      </c>
    </row>
    <row r="96" spans="1:22" ht="375" x14ac:dyDescent="0.25">
      <c r="A96" t="s">
        <v>231</v>
      </c>
      <c r="B96" t="s">
        <v>217</v>
      </c>
      <c r="C96" t="s">
        <v>232</v>
      </c>
      <c r="D96" t="s">
        <v>540</v>
      </c>
      <c r="E96" s="2" t="s">
        <v>541</v>
      </c>
      <c r="F96" s="2" t="s">
        <v>542</v>
      </c>
      <c r="G96" t="s">
        <v>289</v>
      </c>
      <c r="H96" t="s">
        <v>543</v>
      </c>
      <c r="I96" s="2" t="s">
        <v>544</v>
      </c>
      <c r="J96">
        <v>1</v>
      </c>
      <c r="K96" t="s">
        <v>304</v>
      </c>
      <c r="N96" s="2" t="s">
        <v>314</v>
      </c>
      <c r="O96" t="b">
        <v>0</v>
      </c>
      <c r="P96" t="s">
        <v>294</v>
      </c>
      <c r="Q96" s="2" t="s">
        <v>545</v>
      </c>
      <c r="R96" s="2" t="s">
        <v>546</v>
      </c>
      <c r="S96" t="s">
        <v>261</v>
      </c>
      <c r="T96" t="s">
        <v>547</v>
      </c>
      <c r="V96">
        <v>1</v>
      </c>
    </row>
  </sheetData>
  <autoFilter ref="A1:V96" xr:uid="{00000000-0001-0000-0100-000000000000}"/>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Paper_Info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saman</dc:creator>
  <cp:lastModifiedBy>Howley,Samantha T</cp:lastModifiedBy>
  <dcterms:created xsi:type="dcterms:W3CDTF">2026-09-08T17:29:10Z</dcterms:created>
  <dcterms:modified xsi:type="dcterms:W3CDTF">2026-09-10T15:37:14Z</dcterms:modified>
</cp:coreProperties>
</file>