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sertation\01_Raw_data\"/>
    </mc:Choice>
  </mc:AlternateContent>
  <xr:revisionPtr revIDLastSave="0" documentId="13_ncr:1_{9454C528-CDE2-4709-AE10-CD72D8DF3032}" xr6:coauthVersionLast="47" xr6:coauthVersionMax="47" xr10:uidLastSave="{00000000-0000-0000-0000-000000000000}"/>
  <bookViews>
    <workbookView xWindow="-90" yWindow="-90" windowWidth="19380" windowHeight="10260" firstSheet="6" activeTab="7" xr2:uid="{C78ACADB-B7B5-4EBE-89C6-A41D88DD91B0}"/>
  </bookViews>
  <sheets>
    <sheet name="log" sheetId="1" r:id="rId1"/>
    <sheet name="well dims" sheetId="9" r:id="rId2"/>
    <sheet name="screen extent" sheetId="7" r:id="rId3"/>
    <sheet name="elevation" sheetId="10" r:id="rId4"/>
    <sheet name="total well length " sheetId="3" r:id="rId5"/>
    <sheet name="well heightw extension " sheetId="8" r:id="rId6"/>
    <sheet name="well height_raw" sheetId="2" r:id="rId7"/>
    <sheet name="scope elevations" sheetId="11" r:id="rId8"/>
    <sheet name="scope elevations 04172026" sheetId="12" r:id="rId9"/>
  </sheets>
  <definedNames>
    <definedName name="_xlnm._FilterDatabase" localSheetId="0" hidden="1">log!$A$1:$L$229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2" i="12"/>
  <c r="F3" i="11"/>
  <c r="C8" i="12"/>
  <c r="C9" i="12"/>
  <c r="H4" i="12"/>
  <c r="H3" i="12"/>
  <c r="H2" i="12"/>
  <c r="F21" i="11"/>
  <c r="F16" i="11"/>
  <c r="F17" i="11"/>
  <c r="F18" i="11"/>
  <c r="F19" i="11"/>
  <c r="F20" i="11"/>
  <c r="F10" i="11"/>
  <c r="F11" i="11"/>
  <c r="F12" i="11"/>
  <c r="F13" i="11"/>
  <c r="F14" i="11"/>
  <c r="F15" i="11"/>
  <c r="F4" i="11"/>
  <c r="F5" i="11"/>
  <c r="F6" i="11"/>
  <c r="F7" i="11"/>
  <c r="F8" i="11"/>
  <c r="F9" i="11"/>
  <c r="F2" i="11"/>
  <c r="D21" i="11"/>
  <c r="D19" i="11"/>
  <c r="D18" i="11"/>
  <c r="D17" i="11"/>
  <c r="D16" i="11"/>
  <c r="D20" i="11"/>
  <c r="E4" i="1"/>
  <c r="E5" i="1"/>
  <c r="E6" i="1"/>
  <c r="F6" i="1" s="1"/>
  <c r="E7" i="1"/>
  <c r="E9" i="1"/>
  <c r="E11" i="1"/>
  <c r="F11" i="1" s="1"/>
  <c r="E12" i="1"/>
  <c r="E13" i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1" i="1"/>
  <c r="E23" i="1"/>
  <c r="E26" i="1"/>
  <c r="E28" i="1"/>
  <c r="F28" i="1" s="1"/>
  <c r="E29" i="1"/>
  <c r="E30" i="1"/>
  <c r="E31" i="1"/>
  <c r="F31" i="1" s="1"/>
  <c r="E32" i="1"/>
  <c r="F32" i="1" s="1"/>
  <c r="E33" i="1"/>
  <c r="F33" i="1" s="1"/>
  <c r="E34" i="1"/>
  <c r="F34" i="1" s="1"/>
  <c r="E35" i="1"/>
  <c r="E36" i="1"/>
  <c r="F36" i="1" s="1"/>
  <c r="E39" i="1"/>
  <c r="E41" i="1"/>
  <c r="E44" i="1"/>
  <c r="E46" i="1"/>
  <c r="F46" i="1" s="1"/>
  <c r="E47" i="1"/>
  <c r="E48" i="1"/>
  <c r="E49" i="1"/>
  <c r="E50" i="1"/>
  <c r="F50" i="1" s="1"/>
  <c r="E51" i="1"/>
  <c r="F51" i="1" s="1"/>
  <c r="E52" i="1"/>
  <c r="F52" i="1" s="1"/>
  <c r="E53" i="1"/>
  <c r="E54" i="1"/>
  <c r="F54" i="1" s="1"/>
  <c r="E55" i="1"/>
  <c r="F55" i="1" s="1"/>
  <c r="E56" i="1"/>
  <c r="E57" i="1"/>
  <c r="E58" i="1"/>
  <c r="F58" i="1" s="1"/>
  <c r="E59" i="1"/>
  <c r="E61" i="1"/>
  <c r="E62" i="1"/>
  <c r="E63" i="1"/>
  <c r="E64" i="1"/>
  <c r="F64" i="1" s="1"/>
  <c r="E65" i="1"/>
  <c r="E66" i="1"/>
  <c r="E67" i="1"/>
  <c r="F67" i="1" s="1"/>
  <c r="E68" i="1"/>
  <c r="F68" i="1" s="1"/>
  <c r="E69" i="1"/>
  <c r="F69" i="1" s="1"/>
  <c r="E70" i="1"/>
  <c r="F70" i="1" s="1"/>
  <c r="E72" i="1"/>
  <c r="F72" i="1" s="1"/>
  <c r="E73" i="1"/>
  <c r="F73" i="1" s="1"/>
  <c r="E74" i="1"/>
  <c r="E75" i="1"/>
  <c r="E76" i="1"/>
  <c r="F76" i="1" s="1"/>
  <c r="E77" i="1"/>
  <c r="E78" i="1"/>
  <c r="E80" i="1"/>
  <c r="F80" i="1" s="1"/>
  <c r="E81" i="1"/>
  <c r="E82" i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E90" i="1"/>
  <c r="E91" i="1"/>
  <c r="F91" i="1" s="1"/>
  <c r="E92" i="1"/>
  <c r="E94" i="1"/>
  <c r="E95" i="1"/>
  <c r="E96" i="1"/>
  <c r="E97" i="1"/>
  <c r="E98" i="1"/>
  <c r="F98" i="1" s="1"/>
  <c r="E99" i="1"/>
  <c r="F99" i="1" s="1"/>
  <c r="E100" i="1"/>
  <c r="F100" i="1" s="1"/>
  <c r="E106" i="1"/>
  <c r="E108" i="1"/>
  <c r="E109" i="1"/>
  <c r="E110" i="1"/>
  <c r="E115" i="1"/>
  <c r="F115" i="1" s="1"/>
  <c r="E117" i="1"/>
  <c r="E118" i="1"/>
  <c r="E119" i="1"/>
  <c r="F119" i="1" s="1"/>
  <c r="E120" i="1"/>
  <c r="E122" i="1"/>
  <c r="E123" i="1"/>
  <c r="E124" i="1"/>
  <c r="E125" i="1"/>
  <c r="F125" i="1" s="1"/>
  <c r="E126" i="1"/>
  <c r="E127" i="1"/>
  <c r="E128" i="1"/>
  <c r="F128" i="1" s="1"/>
  <c r="E129" i="1"/>
  <c r="F129" i="1" s="1"/>
  <c r="E130" i="1"/>
  <c r="F130" i="1" s="1"/>
  <c r="E131" i="1"/>
  <c r="F131" i="1" s="1"/>
  <c r="E132" i="1"/>
  <c r="E133" i="1"/>
  <c r="F133" i="1" s="1"/>
  <c r="E134" i="1"/>
  <c r="F134" i="1" s="1"/>
  <c r="E135" i="1"/>
  <c r="E136" i="1"/>
  <c r="E137" i="1"/>
  <c r="F137" i="1" s="1"/>
  <c r="E138" i="1"/>
  <c r="E141" i="1"/>
  <c r="E142" i="1"/>
  <c r="E143" i="1"/>
  <c r="F143" i="1" s="1"/>
  <c r="E144" i="1"/>
  <c r="E146" i="1"/>
  <c r="F146" i="1" s="1"/>
  <c r="E147" i="1"/>
  <c r="F147" i="1" s="1"/>
  <c r="E148" i="1"/>
  <c r="F148" i="1" s="1"/>
  <c r="E149" i="1"/>
  <c r="F149" i="1" s="1"/>
  <c r="E150" i="1"/>
  <c r="E154" i="1"/>
  <c r="E156" i="1"/>
  <c r="E157" i="1"/>
  <c r="E158" i="1"/>
  <c r="E159" i="1"/>
  <c r="F159" i="1" s="1"/>
  <c r="E160" i="1"/>
  <c r="E162" i="1"/>
  <c r="F162" i="1" s="1"/>
  <c r="E163" i="1"/>
  <c r="F163" i="1" s="1"/>
  <c r="E164" i="1"/>
  <c r="F164" i="1" s="1"/>
  <c r="E165" i="1"/>
  <c r="F165" i="1" s="1"/>
  <c r="E168" i="1"/>
  <c r="E169" i="1"/>
  <c r="E170" i="1"/>
  <c r="F170" i="1" s="1"/>
  <c r="E177" i="1"/>
  <c r="E182" i="1"/>
  <c r="F182" i="1" s="1"/>
  <c r="E183" i="1"/>
  <c r="F183" i="1" s="1"/>
  <c r="E184" i="1"/>
  <c r="E185" i="1"/>
  <c r="E186" i="1"/>
  <c r="F186" i="1" s="1"/>
  <c r="E187" i="1"/>
  <c r="E190" i="1"/>
  <c r="F190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E200" i="1"/>
  <c r="E201" i="1"/>
  <c r="F201" i="1" s="1"/>
  <c r="E202" i="1"/>
  <c r="E203" i="1"/>
  <c r="E204" i="1"/>
  <c r="E205" i="1"/>
  <c r="E206" i="1"/>
  <c r="E207" i="1"/>
  <c r="E208" i="1"/>
  <c r="E209" i="1"/>
  <c r="F209" i="1" s="1"/>
  <c r="E210" i="1"/>
  <c r="F210" i="1" s="1"/>
  <c r="E212" i="1"/>
  <c r="F212" i="1" s="1"/>
  <c r="E213" i="1"/>
  <c r="E214" i="1"/>
  <c r="E215" i="1"/>
  <c r="E216" i="1"/>
  <c r="E217" i="1"/>
  <c r="E218" i="1"/>
  <c r="E219" i="1"/>
  <c r="E221" i="1"/>
  <c r="E222" i="1"/>
  <c r="E223" i="1"/>
  <c r="E224" i="1"/>
  <c r="E225" i="1"/>
  <c r="E226" i="1"/>
  <c r="E227" i="1"/>
  <c r="E228" i="1"/>
  <c r="E229" i="1"/>
  <c r="F2" i="1"/>
  <c r="F3" i="1"/>
  <c r="F22" i="1"/>
  <c r="F37" i="1"/>
  <c r="F40" i="1"/>
  <c r="F49" i="1"/>
  <c r="F102" i="1"/>
  <c r="F105" i="1"/>
  <c r="F112" i="1"/>
  <c r="F113" i="1"/>
  <c r="F114" i="1"/>
  <c r="F116" i="1"/>
  <c r="F152" i="1"/>
  <c r="F155" i="1"/>
  <c r="F166" i="1"/>
  <c r="F167" i="1"/>
  <c r="F175" i="1"/>
  <c r="F179" i="1"/>
  <c r="F180" i="1"/>
  <c r="E151" i="1"/>
  <c r="F151" i="1" s="1"/>
  <c r="E101" i="1"/>
  <c r="F101" i="1" s="1"/>
  <c r="D2" i="10"/>
  <c r="F2" i="9"/>
  <c r="E121" i="1"/>
  <c r="E181" i="1"/>
  <c r="F181" i="1" s="1"/>
  <c r="E178" i="1"/>
  <c r="F178" i="1" s="1"/>
  <c r="E139" i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F3" i="9"/>
  <c r="F4" i="9"/>
  <c r="E4" i="9" s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E2" i="9"/>
  <c r="E3" i="9"/>
  <c r="E5" i="9"/>
  <c r="E6" i="9"/>
  <c r="E7" i="9"/>
  <c r="E11" i="9"/>
  <c r="E13" i="9"/>
  <c r="E14" i="9"/>
  <c r="E15" i="9"/>
  <c r="E16" i="9"/>
  <c r="E17" i="9"/>
  <c r="E18" i="9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" i="2"/>
  <c r="M16" i="3"/>
</calcChain>
</file>

<file path=xl/sharedStrings.xml><?xml version="1.0" encoding="utf-8"?>
<sst xmlns="http://schemas.openxmlformats.org/spreadsheetml/2006/main" count="746" uniqueCount="61">
  <si>
    <t>Date</t>
  </si>
  <si>
    <t>Site</t>
  </si>
  <si>
    <t>5GW1</t>
  </si>
  <si>
    <t>well.hieght</t>
  </si>
  <si>
    <t>top2WTE</t>
  </si>
  <si>
    <t>pH</t>
  </si>
  <si>
    <t>WTE</t>
  </si>
  <si>
    <t>Sampled</t>
  </si>
  <si>
    <t>Y</t>
  </si>
  <si>
    <t>Notes</t>
  </si>
  <si>
    <t>Wtdepth measurements taken with extension on the well</t>
  </si>
  <si>
    <t>5GW2</t>
  </si>
  <si>
    <t>5GW3</t>
  </si>
  <si>
    <t>5GW4</t>
  </si>
  <si>
    <t>5GW5</t>
  </si>
  <si>
    <t>5GW6</t>
  </si>
  <si>
    <t>5GW7</t>
  </si>
  <si>
    <t>6GW1</t>
  </si>
  <si>
    <t>6GW2</t>
  </si>
  <si>
    <t>6GW3</t>
  </si>
  <si>
    <t>6GW4</t>
  </si>
  <si>
    <t>6GW5</t>
  </si>
  <si>
    <t>9GW1</t>
  </si>
  <si>
    <t>9GW2</t>
  </si>
  <si>
    <t>9GW3</t>
  </si>
  <si>
    <t>9GW4</t>
  </si>
  <si>
    <t>Pre Upland Installation</t>
  </si>
  <si>
    <t>5GW8</t>
  </si>
  <si>
    <t>at surface</t>
  </si>
  <si>
    <t>9GW5</t>
  </si>
  <si>
    <t>N</t>
  </si>
  <si>
    <t>DRY</t>
  </si>
  <si>
    <t>NA</t>
  </si>
  <si>
    <t>extent (datum=ground)</t>
  </si>
  <si>
    <t>DO</t>
  </si>
  <si>
    <t>total.well.length</t>
  </si>
  <si>
    <t>ID</t>
  </si>
  <si>
    <t>well.height</t>
  </si>
  <si>
    <t>well.height.ext</t>
  </si>
  <si>
    <t>below.ground</t>
  </si>
  <si>
    <t>screen.extent</t>
  </si>
  <si>
    <t>surface.elevation</t>
  </si>
  <si>
    <t>stream.bed.elevation</t>
  </si>
  <si>
    <t>distance.from.stream</t>
  </si>
  <si>
    <t>WT.distance.from.surface</t>
  </si>
  <si>
    <t>Dry; used extension</t>
  </si>
  <si>
    <t>Temp</t>
  </si>
  <si>
    <t>scope.height.ft</t>
  </si>
  <si>
    <t>elevation.ft</t>
  </si>
  <si>
    <t>notes</t>
  </si>
  <si>
    <t>2ft from well</t>
  </si>
  <si>
    <t>5GW0</t>
  </si>
  <si>
    <t>6GW0</t>
  </si>
  <si>
    <t>9GW0</t>
  </si>
  <si>
    <t>scope.surface.elevation</t>
  </si>
  <si>
    <t>DID NOT PUMP</t>
  </si>
  <si>
    <t>Stream</t>
  </si>
  <si>
    <t>GW</t>
  </si>
  <si>
    <t>Stream_2</t>
  </si>
  <si>
    <t>GW_2</t>
  </si>
  <si>
    <t xml:space="preserve">Scope_2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</si>
</sst>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C743-6008-44C7-8E48-24FED6FBC91C}">
  <sheetPr filterMode="1"/>
  <dimension ref="A1:L229"/>
  <sheetViews>
    <sheetView zoomScale="120" zoomScaleNormal="120" workbookViewId="0">
      <pane ySplit="1" topLeftCell="A5" activePane="bottomLeft" state="frozen"/>
      <selection pane="bottomLeft" activeCell="L237" sqref="L237"/>
    </sheetView>
  </sheetViews>
  <sheetFormatPr defaultColWidth="8.7265625" defaultRowHeight="14.75" x14ac:dyDescent="0.75"/>
  <cols>
    <col min="1" max="1" width="11.1328125" bestFit="1" customWidth="1"/>
    <col min="3" max="3" width="11.54296875" bestFit="1" customWidth="1"/>
    <col min="4" max="4" width="10.86328125" bestFit="1" customWidth="1"/>
    <col min="5" max="5" width="24.1328125" bestFit="1" customWidth="1"/>
    <col min="6" max="7" width="24.1328125" customWidth="1"/>
    <col min="8" max="9" width="9.1328125" customWidth="1"/>
    <col min="10" max="10" width="14.1328125" bestFit="1" customWidth="1"/>
    <col min="11" max="11" width="11" customWidth="1"/>
    <col min="12" max="12" width="46.86328125" bestFit="1" customWidth="1"/>
    <col min="13" max="13" width="26.40625" bestFit="1" customWidth="1"/>
  </cols>
  <sheetData>
    <row r="1" spans="1:12" x14ac:dyDescent="0.75">
      <c r="A1" t="s">
        <v>0</v>
      </c>
      <c r="B1" t="s">
        <v>1</v>
      </c>
      <c r="C1" t="s">
        <v>3</v>
      </c>
      <c r="D1" t="s">
        <v>4</v>
      </c>
      <c r="E1" t="s">
        <v>44</v>
      </c>
      <c r="F1" t="s">
        <v>6</v>
      </c>
      <c r="G1" t="s">
        <v>46</v>
      </c>
      <c r="H1" t="s">
        <v>5</v>
      </c>
      <c r="I1" t="s">
        <v>34</v>
      </c>
      <c r="J1" t="s">
        <v>7</v>
      </c>
      <c r="L1" t="s">
        <v>9</v>
      </c>
    </row>
    <row r="2" spans="1:12" hidden="1" x14ac:dyDescent="0.75">
      <c r="A2" s="1">
        <v>45569</v>
      </c>
      <c r="B2" t="s">
        <v>2</v>
      </c>
      <c r="C2">
        <v>0.44</v>
      </c>
      <c r="E2">
        <v>6.5000000000000002E-2</v>
      </c>
      <c r="F2" t="e">
        <f>'well dims'!#REF!+E2</f>
        <v>#REF!</v>
      </c>
      <c r="H2">
        <v>6.6</v>
      </c>
      <c r="J2" t="s">
        <v>8</v>
      </c>
      <c r="L2" t="s">
        <v>10</v>
      </c>
    </row>
    <row r="3" spans="1:12" hidden="1" x14ac:dyDescent="0.75">
      <c r="A3" s="1">
        <v>45569</v>
      </c>
      <c r="B3" t="s">
        <v>11</v>
      </c>
      <c r="C3">
        <v>0.41499999999999998</v>
      </c>
      <c r="E3">
        <v>5.7500000000000002E-2</v>
      </c>
      <c r="F3" t="e">
        <f>'well dims'!#REF!-E3</f>
        <v>#REF!</v>
      </c>
      <c r="H3">
        <v>5.97</v>
      </c>
      <c r="J3" t="s">
        <v>8</v>
      </c>
      <c r="L3" t="s">
        <v>10</v>
      </c>
    </row>
    <row r="4" spans="1:12" hidden="1" x14ac:dyDescent="0.75">
      <c r="A4" s="1">
        <v>45569</v>
      </c>
      <c r="B4" t="s">
        <v>12</v>
      </c>
      <c r="C4">
        <v>0.755</v>
      </c>
      <c r="D4">
        <v>0.85</v>
      </c>
      <c r="E4">
        <f>C4-D4</f>
        <v>-9.4999999999999973E-2</v>
      </c>
      <c r="H4">
        <v>5.82</v>
      </c>
      <c r="J4" t="s">
        <v>8</v>
      </c>
      <c r="L4" t="s">
        <v>10</v>
      </c>
    </row>
    <row r="5" spans="1:12" hidden="1" x14ac:dyDescent="0.75">
      <c r="A5" s="1">
        <v>45569</v>
      </c>
      <c r="B5" t="s">
        <v>13</v>
      </c>
      <c r="C5">
        <v>0.75</v>
      </c>
      <c r="D5">
        <v>1.62</v>
      </c>
      <c r="E5">
        <f>C5-D5</f>
        <v>-0.87000000000000011</v>
      </c>
      <c r="H5">
        <v>5.19</v>
      </c>
      <c r="J5" t="s">
        <v>8</v>
      </c>
      <c r="L5" t="s">
        <v>10</v>
      </c>
    </row>
    <row r="6" spans="1:12" hidden="1" x14ac:dyDescent="0.75">
      <c r="A6" s="1">
        <v>45569</v>
      </c>
      <c r="B6" t="s">
        <v>14</v>
      </c>
      <c r="C6" s="3">
        <v>0.09</v>
      </c>
      <c r="D6">
        <v>0.79</v>
      </c>
      <c r="E6">
        <f>C6-D6</f>
        <v>-0.70000000000000007</v>
      </c>
      <c r="F6" t="e">
        <f>'well dims'!#REF!+E6</f>
        <v>#REF!</v>
      </c>
      <c r="H6">
        <v>4.2</v>
      </c>
      <c r="J6" t="s">
        <v>8</v>
      </c>
      <c r="L6" t="s">
        <v>10</v>
      </c>
    </row>
    <row r="7" spans="1:12" hidden="1" x14ac:dyDescent="0.75">
      <c r="A7" s="1">
        <v>45569</v>
      </c>
      <c r="B7" t="s">
        <v>15</v>
      </c>
      <c r="C7">
        <v>8.5000000000000006E-2</v>
      </c>
      <c r="D7">
        <v>1.23</v>
      </c>
      <c r="E7">
        <f>C7-D7</f>
        <v>-1.145</v>
      </c>
      <c r="H7">
        <v>4.42</v>
      </c>
      <c r="J7" t="s">
        <v>8</v>
      </c>
      <c r="L7" t="s">
        <v>10</v>
      </c>
    </row>
    <row r="8" spans="1:12" hidden="1" x14ac:dyDescent="0.75">
      <c r="A8" s="1">
        <v>45569</v>
      </c>
      <c r="B8" t="s">
        <v>16</v>
      </c>
      <c r="E8">
        <v>0.21</v>
      </c>
      <c r="H8">
        <v>6.12</v>
      </c>
      <c r="J8" t="s">
        <v>8</v>
      </c>
      <c r="L8" t="s">
        <v>10</v>
      </c>
    </row>
    <row r="9" spans="1:12" hidden="1" x14ac:dyDescent="0.75">
      <c r="A9" s="1">
        <v>45569</v>
      </c>
      <c r="B9" t="s">
        <v>17</v>
      </c>
      <c r="C9">
        <v>0.16</v>
      </c>
      <c r="D9">
        <v>0.375</v>
      </c>
      <c r="E9">
        <f>C9-D9</f>
        <v>-0.215</v>
      </c>
      <c r="H9">
        <v>3.94</v>
      </c>
      <c r="J9" t="s">
        <v>30</v>
      </c>
      <c r="L9" t="s">
        <v>26</v>
      </c>
    </row>
    <row r="10" spans="1:12" hidden="1" x14ac:dyDescent="0.75">
      <c r="A10" s="1">
        <v>45569</v>
      </c>
      <c r="B10" t="s">
        <v>18</v>
      </c>
      <c r="C10">
        <v>0.89</v>
      </c>
      <c r="E10">
        <v>0.03</v>
      </c>
      <c r="H10">
        <v>4.01</v>
      </c>
      <c r="J10" t="s">
        <v>8</v>
      </c>
    </row>
    <row r="11" spans="1:12" hidden="1" x14ac:dyDescent="0.75">
      <c r="A11" s="1">
        <v>45569</v>
      </c>
      <c r="B11" t="s">
        <v>19</v>
      </c>
      <c r="C11">
        <v>0.04</v>
      </c>
      <c r="D11">
        <v>1.345</v>
      </c>
      <c r="E11">
        <f>C11-D11</f>
        <v>-1.3049999999999999</v>
      </c>
      <c r="F11" t="e">
        <f>'well dims'!#REF!+E11</f>
        <v>#REF!</v>
      </c>
      <c r="H11">
        <v>6.45</v>
      </c>
      <c r="J11" t="s">
        <v>8</v>
      </c>
    </row>
    <row r="12" spans="1:12" hidden="1" x14ac:dyDescent="0.75">
      <c r="A12" s="1">
        <v>45569</v>
      </c>
      <c r="B12" t="s">
        <v>20</v>
      </c>
      <c r="C12">
        <v>0.25</v>
      </c>
      <c r="D12">
        <v>0.3</v>
      </c>
      <c r="E12">
        <f t="shared" ref="E12:E17" si="0">C12-D12</f>
        <v>-4.9999999999999989E-2</v>
      </c>
      <c r="H12">
        <v>4.29</v>
      </c>
      <c r="J12" t="s">
        <v>8</v>
      </c>
    </row>
    <row r="13" spans="1:12" x14ac:dyDescent="0.75">
      <c r="A13" s="1">
        <v>45569</v>
      </c>
      <c r="B13" t="s">
        <v>21</v>
      </c>
      <c r="C13">
        <v>0.12</v>
      </c>
      <c r="D13">
        <v>1.4</v>
      </c>
      <c r="E13">
        <f t="shared" si="0"/>
        <v>-1.2799999999999998</v>
      </c>
      <c r="H13">
        <v>4.1900000000000004</v>
      </c>
      <c r="J13" t="s">
        <v>8</v>
      </c>
    </row>
    <row r="14" spans="1:12" hidden="1" x14ac:dyDescent="0.75">
      <c r="A14" s="1">
        <v>45569</v>
      </c>
      <c r="B14" t="s">
        <v>22</v>
      </c>
      <c r="C14">
        <v>0.26</v>
      </c>
      <c r="D14">
        <v>1.0349999999999999</v>
      </c>
      <c r="E14">
        <f t="shared" si="0"/>
        <v>-0.77499999999999991</v>
      </c>
      <c r="F14" t="e">
        <f>'well dims'!#REF!+E14</f>
        <v>#REF!</v>
      </c>
      <c r="H14">
        <v>3.79</v>
      </c>
      <c r="J14" t="s">
        <v>30</v>
      </c>
    </row>
    <row r="15" spans="1:12" hidden="1" x14ac:dyDescent="0.75">
      <c r="A15" s="1">
        <v>45569</v>
      </c>
      <c r="B15" t="s">
        <v>23</v>
      </c>
      <c r="C15">
        <v>0</v>
      </c>
      <c r="D15">
        <v>1.17</v>
      </c>
      <c r="E15">
        <f t="shared" si="0"/>
        <v>-1.17</v>
      </c>
      <c r="F15" t="e">
        <f>'well dims'!#REF!+E15</f>
        <v>#REF!</v>
      </c>
      <c r="H15">
        <v>3.93</v>
      </c>
      <c r="J15" t="s">
        <v>30</v>
      </c>
    </row>
    <row r="16" spans="1:12" hidden="1" x14ac:dyDescent="0.75">
      <c r="A16" s="1">
        <v>45569</v>
      </c>
      <c r="B16" t="s">
        <v>24</v>
      </c>
      <c r="C16">
        <v>0.74</v>
      </c>
      <c r="D16">
        <v>1.21</v>
      </c>
      <c r="E16">
        <f t="shared" si="0"/>
        <v>-0.47</v>
      </c>
      <c r="F16" t="e">
        <f>'well dims'!#REF!+E16</f>
        <v>#REF!</v>
      </c>
      <c r="H16">
        <v>3.88</v>
      </c>
      <c r="J16" t="s">
        <v>8</v>
      </c>
    </row>
    <row r="17" spans="1:12" hidden="1" x14ac:dyDescent="0.75">
      <c r="A17" s="1">
        <v>45569</v>
      </c>
      <c r="B17" t="s">
        <v>25</v>
      </c>
      <c r="C17">
        <v>0.33</v>
      </c>
      <c r="D17">
        <v>1.58</v>
      </c>
      <c r="E17">
        <f t="shared" si="0"/>
        <v>-1.25</v>
      </c>
      <c r="F17" t="e">
        <f>'well dims'!#REF!+log!E17</f>
        <v>#REF!</v>
      </c>
      <c r="H17">
        <v>4.34</v>
      </c>
      <c r="J17" t="s">
        <v>55</v>
      </c>
    </row>
    <row r="18" spans="1:12" hidden="1" x14ac:dyDescent="0.75">
      <c r="A18" s="1">
        <v>45687</v>
      </c>
      <c r="B18" t="s">
        <v>2</v>
      </c>
      <c r="C18">
        <v>0.44</v>
      </c>
      <c r="D18">
        <v>0.41499999999999998</v>
      </c>
      <c r="E18">
        <f>C18-D18</f>
        <v>2.5000000000000022E-2</v>
      </c>
      <c r="F18" t="e">
        <f>'well dims'!#REF!+E18</f>
        <v>#REF!</v>
      </c>
      <c r="G18">
        <v>13</v>
      </c>
      <c r="H18">
        <v>6.34</v>
      </c>
      <c r="J18" t="s">
        <v>8</v>
      </c>
    </row>
    <row r="19" spans="1:12" hidden="1" x14ac:dyDescent="0.75">
      <c r="A19" s="1">
        <v>45687</v>
      </c>
      <c r="B19" t="s">
        <v>11</v>
      </c>
      <c r="C19">
        <v>0.41499999999999998</v>
      </c>
      <c r="D19">
        <v>0.27</v>
      </c>
      <c r="E19">
        <f>D19-C19</f>
        <v>-0.14499999999999996</v>
      </c>
      <c r="F19" t="e">
        <f>'well dims'!#REF!-E19</f>
        <v>#REF!</v>
      </c>
      <c r="G19">
        <v>12.9</v>
      </c>
      <c r="H19">
        <v>6.17</v>
      </c>
      <c r="J19" t="s">
        <v>8</v>
      </c>
    </row>
    <row r="20" spans="1:12" hidden="1" x14ac:dyDescent="0.75">
      <c r="A20" s="1">
        <v>45687</v>
      </c>
      <c r="B20" t="s">
        <v>12</v>
      </c>
      <c r="C20">
        <v>0.755</v>
      </c>
      <c r="E20">
        <v>0</v>
      </c>
      <c r="G20">
        <v>13.9</v>
      </c>
      <c r="H20">
        <v>5.85</v>
      </c>
      <c r="J20" t="s">
        <v>8</v>
      </c>
      <c r="L20" t="s">
        <v>28</v>
      </c>
    </row>
    <row r="21" spans="1:12" hidden="1" x14ac:dyDescent="0.75">
      <c r="A21" s="1">
        <v>45687</v>
      </c>
      <c r="B21" t="s">
        <v>13</v>
      </c>
      <c r="C21">
        <v>0.24</v>
      </c>
      <c r="D21">
        <v>0.92500000000000004</v>
      </c>
      <c r="E21">
        <f>C21-D21</f>
        <v>-0.68500000000000005</v>
      </c>
      <c r="G21">
        <v>15.7</v>
      </c>
      <c r="H21">
        <v>5.31</v>
      </c>
      <c r="J21" t="s">
        <v>8</v>
      </c>
    </row>
    <row r="22" spans="1:12" hidden="1" x14ac:dyDescent="0.75">
      <c r="A22" s="1">
        <v>45687</v>
      </c>
      <c r="B22" t="s">
        <v>14</v>
      </c>
      <c r="C22">
        <v>0.09</v>
      </c>
      <c r="E22">
        <v>0.04</v>
      </c>
      <c r="F22" t="e">
        <f>'well dims'!#REF!+E22</f>
        <v>#REF!</v>
      </c>
      <c r="G22">
        <v>14.2</v>
      </c>
      <c r="H22">
        <v>4.47</v>
      </c>
      <c r="J22" t="s">
        <v>8</v>
      </c>
    </row>
    <row r="23" spans="1:12" hidden="1" x14ac:dyDescent="0.75">
      <c r="A23" s="1">
        <v>45687</v>
      </c>
      <c r="B23" t="s">
        <v>15</v>
      </c>
      <c r="C23">
        <v>8.5000000000000006E-2</v>
      </c>
      <c r="D23">
        <v>0.54500000000000004</v>
      </c>
      <c r="E23">
        <f>C23-D23</f>
        <v>-0.46</v>
      </c>
      <c r="G23">
        <v>14.8</v>
      </c>
      <c r="H23">
        <v>4.2699999999999996</v>
      </c>
      <c r="J23" t="s">
        <v>8</v>
      </c>
    </row>
    <row r="24" spans="1:12" hidden="1" x14ac:dyDescent="0.75">
      <c r="A24" s="1">
        <v>45687</v>
      </c>
      <c r="B24" t="s">
        <v>16</v>
      </c>
      <c r="C24">
        <v>1.7949999999999999</v>
      </c>
      <c r="E24">
        <v>0.41</v>
      </c>
      <c r="G24">
        <v>13.4</v>
      </c>
      <c r="H24">
        <v>5.76</v>
      </c>
      <c r="J24" t="s">
        <v>8</v>
      </c>
    </row>
    <row r="25" spans="1:12" hidden="1" x14ac:dyDescent="0.75">
      <c r="A25" s="1">
        <v>45687</v>
      </c>
      <c r="B25" t="s">
        <v>27</v>
      </c>
      <c r="C25">
        <v>0.83</v>
      </c>
      <c r="E25">
        <v>0.04</v>
      </c>
      <c r="G25">
        <v>12.9</v>
      </c>
      <c r="H25">
        <v>5.65</v>
      </c>
      <c r="J25" t="s">
        <v>8</v>
      </c>
    </row>
    <row r="26" spans="1:12" hidden="1" x14ac:dyDescent="0.75">
      <c r="A26" s="1">
        <v>45687</v>
      </c>
      <c r="B26" t="s">
        <v>17</v>
      </c>
      <c r="C26">
        <v>0.16</v>
      </c>
      <c r="D26">
        <v>0.45</v>
      </c>
      <c r="E26">
        <f>C26-D26</f>
        <v>-0.29000000000000004</v>
      </c>
      <c r="G26">
        <v>14.9</v>
      </c>
      <c r="H26">
        <v>4.37</v>
      </c>
      <c r="J26" t="s">
        <v>8</v>
      </c>
    </row>
    <row r="27" spans="1:12" hidden="1" x14ac:dyDescent="0.75">
      <c r="A27" s="1">
        <v>45687</v>
      </c>
      <c r="B27" t="s">
        <v>18</v>
      </c>
      <c r="C27">
        <v>0.89</v>
      </c>
      <c r="E27">
        <v>3.5000000000000003E-2</v>
      </c>
      <c r="G27">
        <v>15</v>
      </c>
      <c r="H27">
        <v>4.2699999999999996</v>
      </c>
      <c r="J27" t="s">
        <v>8</v>
      </c>
    </row>
    <row r="28" spans="1:12" hidden="1" x14ac:dyDescent="0.75">
      <c r="A28" s="1">
        <v>45687</v>
      </c>
      <c r="B28" t="s">
        <v>19</v>
      </c>
      <c r="C28">
        <v>0.04</v>
      </c>
      <c r="D28">
        <v>1.36</v>
      </c>
      <c r="E28">
        <f t="shared" ref="E28:E35" si="1">C28-D28</f>
        <v>-1.32</v>
      </c>
      <c r="F28" t="e">
        <f>'well dims'!#REF!+E28</f>
        <v>#REF!</v>
      </c>
      <c r="G28">
        <v>17.100000000000001</v>
      </c>
      <c r="H28">
        <v>4.32</v>
      </c>
      <c r="J28" t="s">
        <v>8</v>
      </c>
    </row>
    <row r="29" spans="1:12" hidden="1" x14ac:dyDescent="0.75">
      <c r="A29" s="1">
        <v>45687</v>
      </c>
      <c r="B29" t="s">
        <v>20</v>
      </c>
      <c r="C29">
        <v>0.25</v>
      </c>
      <c r="D29">
        <v>0.315</v>
      </c>
      <c r="E29">
        <f t="shared" si="1"/>
        <v>-6.5000000000000002E-2</v>
      </c>
      <c r="G29">
        <v>15.3</v>
      </c>
      <c r="H29">
        <v>4.3899999999999997</v>
      </c>
      <c r="J29" t="s">
        <v>8</v>
      </c>
    </row>
    <row r="30" spans="1:12" x14ac:dyDescent="0.75">
      <c r="A30" s="1">
        <v>45687</v>
      </c>
      <c r="B30" t="s">
        <v>21</v>
      </c>
      <c r="C30">
        <v>0.12</v>
      </c>
      <c r="D30">
        <v>2.2799999999999998</v>
      </c>
      <c r="E30">
        <f t="shared" si="1"/>
        <v>-2.1599999999999997</v>
      </c>
      <c r="G30">
        <v>18.399999999999999</v>
      </c>
      <c r="H30">
        <v>4.53</v>
      </c>
      <c r="J30" t="s">
        <v>30</v>
      </c>
    </row>
    <row r="31" spans="1:12" hidden="1" x14ac:dyDescent="0.75">
      <c r="A31" s="1">
        <v>45687</v>
      </c>
      <c r="B31" t="s">
        <v>22</v>
      </c>
      <c r="C31">
        <v>0.26</v>
      </c>
      <c r="D31">
        <v>0.54500000000000004</v>
      </c>
      <c r="E31">
        <f t="shared" si="1"/>
        <v>-0.28500000000000003</v>
      </c>
      <c r="F31" t="e">
        <f>'well dims'!#REF!+E31</f>
        <v>#REF!</v>
      </c>
      <c r="G31">
        <v>13.2</v>
      </c>
      <c r="H31">
        <v>3.71</v>
      </c>
      <c r="J31" t="s">
        <v>8</v>
      </c>
    </row>
    <row r="32" spans="1:12" hidden="1" x14ac:dyDescent="0.75">
      <c r="A32" s="1">
        <v>45687</v>
      </c>
      <c r="B32" t="s">
        <v>23</v>
      </c>
      <c r="C32">
        <v>0</v>
      </c>
      <c r="D32">
        <v>0.5</v>
      </c>
      <c r="E32">
        <f t="shared" si="1"/>
        <v>-0.5</v>
      </c>
      <c r="F32" t="e">
        <f>'well dims'!#REF!+E32</f>
        <v>#REF!</v>
      </c>
      <c r="G32">
        <v>16</v>
      </c>
      <c r="H32">
        <v>3.9</v>
      </c>
      <c r="J32" t="s">
        <v>8</v>
      </c>
    </row>
    <row r="33" spans="1:10" hidden="1" x14ac:dyDescent="0.75">
      <c r="A33" s="1">
        <v>45687</v>
      </c>
      <c r="B33" t="s">
        <v>24</v>
      </c>
      <c r="C33">
        <v>0.74</v>
      </c>
      <c r="D33">
        <v>1.2749999999999999</v>
      </c>
      <c r="E33">
        <f t="shared" si="1"/>
        <v>-0.53499999999999992</v>
      </c>
      <c r="F33" t="e">
        <f>'well dims'!#REF!+E33</f>
        <v>#REF!</v>
      </c>
      <c r="G33">
        <v>16.100000000000001</v>
      </c>
      <c r="H33">
        <v>3.74</v>
      </c>
      <c r="J33" t="s">
        <v>8</v>
      </c>
    </row>
    <row r="34" spans="1:10" hidden="1" x14ac:dyDescent="0.75">
      <c r="A34" s="1">
        <v>45687</v>
      </c>
      <c r="B34" t="s">
        <v>25</v>
      </c>
      <c r="C34">
        <v>0.33</v>
      </c>
      <c r="D34">
        <v>1.05</v>
      </c>
      <c r="E34">
        <f t="shared" si="1"/>
        <v>-0.72</v>
      </c>
      <c r="F34" t="e">
        <f>'well dims'!#REF!+log!E34</f>
        <v>#REF!</v>
      </c>
      <c r="G34">
        <v>14.5</v>
      </c>
      <c r="H34">
        <v>4.0599999999999996</v>
      </c>
      <c r="J34" t="s">
        <v>8</v>
      </c>
    </row>
    <row r="35" spans="1:10" hidden="1" x14ac:dyDescent="0.75">
      <c r="A35" s="1">
        <v>45687</v>
      </c>
      <c r="B35" t="s">
        <v>29</v>
      </c>
      <c r="C35">
        <v>0.03</v>
      </c>
      <c r="D35">
        <v>0.81</v>
      </c>
      <c r="E35">
        <f t="shared" si="1"/>
        <v>-0.78</v>
      </c>
      <c r="G35">
        <v>15.1</v>
      </c>
      <c r="H35">
        <v>4.3899999999999997</v>
      </c>
      <c r="J35" t="s">
        <v>8</v>
      </c>
    </row>
    <row r="36" spans="1:10" hidden="1" x14ac:dyDescent="0.75">
      <c r="A36" s="1">
        <v>45728</v>
      </c>
      <c r="B36" t="s">
        <v>2</v>
      </c>
      <c r="C36">
        <v>0.44</v>
      </c>
      <c r="D36">
        <v>0.45500000000000002</v>
      </c>
      <c r="E36">
        <f>C36-D36</f>
        <v>-1.5000000000000013E-2</v>
      </c>
      <c r="F36" t="e">
        <f>'well dims'!#REF!+E36</f>
        <v>#REF!</v>
      </c>
      <c r="G36">
        <v>16.3</v>
      </c>
      <c r="H36">
        <v>5.99</v>
      </c>
      <c r="J36" t="s">
        <v>8</v>
      </c>
    </row>
    <row r="37" spans="1:10" hidden="1" x14ac:dyDescent="0.75">
      <c r="A37" s="1">
        <v>45728</v>
      </c>
      <c r="B37" t="s">
        <v>11</v>
      </c>
      <c r="C37">
        <v>0.41499999999999998</v>
      </c>
      <c r="D37">
        <v>0.24</v>
      </c>
      <c r="E37">
        <v>0.14499999999999999</v>
      </c>
      <c r="F37" t="e">
        <f>'well dims'!#REF!-E37</f>
        <v>#REF!</v>
      </c>
      <c r="G37">
        <v>16.2</v>
      </c>
      <c r="H37">
        <v>6.09</v>
      </c>
      <c r="J37" t="s">
        <v>8</v>
      </c>
    </row>
    <row r="38" spans="1:10" hidden="1" x14ac:dyDescent="0.75">
      <c r="A38" s="1">
        <v>45728</v>
      </c>
      <c r="B38" t="s">
        <v>12</v>
      </c>
      <c r="C38">
        <v>0.755</v>
      </c>
      <c r="D38">
        <v>0.48099999999999998</v>
      </c>
      <c r="E38">
        <v>0.28199999999999997</v>
      </c>
      <c r="G38">
        <v>14.3</v>
      </c>
      <c r="H38">
        <v>5.93</v>
      </c>
      <c r="J38" t="s">
        <v>8</v>
      </c>
    </row>
    <row r="39" spans="1:10" hidden="1" x14ac:dyDescent="0.75">
      <c r="A39" s="1">
        <v>45728</v>
      </c>
      <c r="B39" t="s">
        <v>13</v>
      </c>
      <c r="C39">
        <v>0.24</v>
      </c>
      <c r="D39">
        <v>0.75900000000000001</v>
      </c>
      <c r="E39">
        <f>C39-D39</f>
        <v>-0.51900000000000002</v>
      </c>
      <c r="G39">
        <v>17.2</v>
      </c>
      <c r="H39">
        <v>5.0199999999999996</v>
      </c>
      <c r="J39" t="s">
        <v>8</v>
      </c>
    </row>
    <row r="40" spans="1:10" hidden="1" x14ac:dyDescent="0.75">
      <c r="A40" s="1">
        <v>45728</v>
      </c>
      <c r="B40" t="s">
        <v>14</v>
      </c>
      <c r="C40">
        <v>0.09</v>
      </c>
      <c r="E40">
        <v>0.28100000000000003</v>
      </c>
      <c r="F40" t="e">
        <f>'well dims'!#REF!+E40</f>
        <v>#REF!</v>
      </c>
      <c r="G40">
        <v>15</v>
      </c>
      <c r="H40">
        <v>4.18</v>
      </c>
      <c r="J40" t="s">
        <v>8</v>
      </c>
    </row>
    <row r="41" spans="1:10" hidden="1" x14ac:dyDescent="0.75">
      <c r="A41" s="1">
        <v>45728</v>
      </c>
      <c r="B41" t="s">
        <v>15</v>
      </c>
      <c r="C41">
        <v>8.5000000000000006E-2</v>
      </c>
      <c r="D41">
        <v>0.22</v>
      </c>
      <c r="E41">
        <f>C41-D41</f>
        <v>-0.13500000000000001</v>
      </c>
      <c r="G41">
        <v>16.8</v>
      </c>
      <c r="H41">
        <v>3.81</v>
      </c>
      <c r="J41" t="s">
        <v>8</v>
      </c>
    </row>
    <row r="42" spans="1:10" hidden="1" x14ac:dyDescent="0.75">
      <c r="A42" s="1">
        <v>45728</v>
      </c>
      <c r="B42" t="s">
        <v>16</v>
      </c>
      <c r="E42" t="s">
        <v>32</v>
      </c>
      <c r="G42">
        <v>15.7</v>
      </c>
      <c r="H42">
        <v>5.58</v>
      </c>
      <c r="J42" t="s">
        <v>8</v>
      </c>
    </row>
    <row r="43" spans="1:10" hidden="1" x14ac:dyDescent="0.75">
      <c r="A43" s="1">
        <v>45728</v>
      </c>
      <c r="B43" t="s">
        <v>27</v>
      </c>
      <c r="C43">
        <v>0.83</v>
      </c>
      <c r="D43">
        <v>0.73499999999999999</v>
      </c>
      <c r="E43">
        <v>0.155</v>
      </c>
      <c r="G43">
        <v>14.3</v>
      </c>
      <c r="H43">
        <v>5.51</v>
      </c>
      <c r="J43" t="s">
        <v>8</v>
      </c>
    </row>
    <row r="44" spans="1:10" hidden="1" x14ac:dyDescent="0.75">
      <c r="A44" s="1">
        <v>45728</v>
      </c>
      <c r="B44" t="s">
        <v>17</v>
      </c>
      <c r="C44">
        <v>0.16</v>
      </c>
      <c r="D44">
        <v>0.52700000000000002</v>
      </c>
      <c r="E44">
        <f>C44-D44</f>
        <v>-0.36699999999999999</v>
      </c>
      <c r="G44">
        <v>17.899999999999999</v>
      </c>
      <c r="H44">
        <v>4.16</v>
      </c>
      <c r="J44" t="s">
        <v>8</v>
      </c>
    </row>
    <row r="45" spans="1:10" hidden="1" x14ac:dyDescent="0.75">
      <c r="A45" s="1">
        <v>45728</v>
      </c>
      <c r="B45" t="s">
        <v>18</v>
      </c>
      <c r="C45">
        <v>0.89</v>
      </c>
      <c r="D45">
        <v>0.76700000000000002</v>
      </c>
      <c r="E45">
        <v>5.5E-2</v>
      </c>
      <c r="G45">
        <v>16.5</v>
      </c>
      <c r="H45">
        <v>3.99</v>
      </c>
      <c r="J45" t="s">
        <v>8</v>
      </c>
    </row>
    <row r="46" spans="1:10" hidden="1" x14ac:dyDescent="0.75">
      <c r="A46" s="1">
        <v>45728</v>
      </c>
      <c r="B46" t="s">
        <v>19</v>
      </c>
      <c r="C46">
        <v>0.04</v>
      </c>
      <c r="D46">
        <v>0.39</v>
      </c>
      <c r="E46">
        <f>C46-D46</f>
        <v>-0.35000000000000003</v>
      </c>
      <c r="F46" t="e">
        <f>'well dims'!#REF!+E46</f>
        <v>#REF!</v>
      </c>
      <c r="G46">
        <v>16.5</v>
      </c>
      <c r="H46">
        <v>3.99</v>
      </c>
      <c r="J46" t="s">
        <v>8</v>
      </c>
    </row>
    <row r="47" spans="1:10" hidden="1" x14ac:dyDescent="0.75">
      <c r="A47" s="1">
        <v>45728</v>
      </c>
      <c r="B47" t="s">
        <v>20</v>
      </c>
      <c r="C47">
        <v>0.25</v>
      </c>
      <c r="D47">
        <v>0.25</v>
      </c>
      <c r="E47">
        <f t="shared" ref="E47:E53" si="2">C47-D47</f>
        <v>0</v>
      </c>
      <c r="G47">
        <v>16.8</v>
      </c>
      <c r="H47">
        <v>4.09</v>
      </c>
      <c r="J47" t="s">
        <v>8</v>
      </c>
    </row>
    <row r="48" spans="1:10" x14ac:dyDescent="0.75">
      <c r="A48" s="1">
        <v>45728</v>
      </c>
      <c r="B48" t="s">
        <v>21</v>
      </c>
      <c r="C48">
        <v>0.12</v>
      </c>
      <c r="D48">
        <v>2.23</v>
      </c>
      <c r="E48">
        <f t="shared" si="2"/>
        <v>-2.11</v>
      </c>
      <c r="G48">
        <v>18.600000000000001</v>
      </c>
      <c r="H48">
        <v>4.1900000000000004</v>
      </c>
      <c r="J48" t="s">
        <v>8</v>
      </c>
    </row>
    <row r="49" spans="1:12" hidden="1" x14ac:dyDescent="0.75">
      <c r="A49" s="1">
        <v>45728</v>
      </c>
      <c r="B49" t="s">
        <v>22</v>
      </c>
      <c r="C49">
        <v>0.26</v>
      </c>
      <c r="D49">
        <v>0.378</v>
      </c>
      <c r="E49">
        <f t="shared" si="2"/>
        <v>-0.11799999999999999</v>
      </c>
      <c r="F49" t="e">
        <f>'well dims'!#REF!+E49</f>
        <v>#REF!</v>
      </c>
      <c r="G49">
        <v>15.8</v>
      </c>
      <c r="H49">
        <v>3.57</v>
      </c>
      <c r="J49" t="s">
        <v>8</v>
      </c>
    </row>
    <row r="50" spans="1:12" hidden="1" x14ac:dyDescent="0.75">
      <c r="A50" s="1">
        <v>45728</v>
      </c>
      <c r="B50" t="s">
        <v>23</v>
      </c>
      <c r="C50">
        <v>0</v>
      </c>
      <c r="D50">
        <v>0.38200000000000001</v>
      </c>
      <c r="E50">
        <f t="shared" si="2"/>
        <v>-0.38200000000000001</v>
      </c>
      <c r="F50" t="e">
        <f>'well dims'!#REF!+E50</f>
        <v>#REF!</v>
      </c>
      <c r="G50">
        <v>17.7</v>
      </c>
      <c r="H50">
        <v>3.55</v>
      </c>
      <c r="J50" t="s">
        <v>8</v>
      </c>
    </row>
    <row r="51" spans="1:12" hidden="1" x14ac:dyDescent="0.75">
      <c r="A51" s="1">
        <v>45728</v>
      </c>
      <c r="B51" t="s">
        <v>24</v>
      </c>
      <c r="C51">
        <v>0</v>
      </c>
      <c r="D51">
        <v>0.31900000000000001</v>
      </c>
      <c r="E51">
        <f t="shared" si="2"/>
        <v>-0.31900000000000001</v>
      </c>
      <c r="F51" t="e">
        <f>'well dims'!#REF!+E51</f>
        <v>#REF!</v>
      </c>
      <c r="G51">
        <v>18.2</v>
      </c>
      <c r="H51">
        <v>3.56</v>
      </c>
      <c r="J51" t="s">
        <v>8</v>
      </c>
    </row>
    <row r="52" spans="1:12" hidden="1" x14ac:dyDescent="0.75">
      <c r="A52" s="1">
        <v>45728</v>
      </c>
      <c r="B52" t="s">
        <v>25</v>
      </c>
      <c r="C52">
        <v>0.33</v>
      </c>
      <c r="D52">
        <v>0.29899999999999999</v>
      </c>
      <c r="E52">
        <f t="shared" si="2"/>
        <v>3.1000000000000028E-2</v>
      </c>
      <c r="F52" t="e">
        <f>'well dims'!#REF!+log!E52</f>
        <v>#REF!</v>
      </c>
      <c r="G52">
        <v>16.8</v>
      </c>
      <c r="H52">
        <v>3.97</v>
      </c>
      <c r="J52" t="s">
        <v>8</v>
      </c>
    </row>
    <row r="53" spans="1:12" hidden="1" x14ac:dyDescent="0.75">
      <c r="A53" s="1">
        <v>45728</v>
      </c>
      <c r="B53" t="s">
        <v>29</v>
      </c>
      <c r="C53">
        <v>0.03</v>
      </c>
      <c r="D53">
        <v>0.85299999999999998</v>
      </c>
      <c r="E53">
        <f t="shared" si="2"/>
        <v>-0.82299999999999995</v>
      </c>
      <c r="G53">
        <v>16.600000000000001</v>
      </c>
      <c r="H53">
        <v>4.22</v>
      </c>
      <c r="J53" t="s">
        <v>8</v>
      </c>
    </row>
    <row r="54" spans="1:12" hidden="1" x14ac:dyDescent="0.75">
      <c r="A54" s="1">
        <v>45764</v>
      </c>
      <c r="B54" t="s">
        <v>2</v>
      </c>
      <c r="C54">
        <v>1.2</v>
      </c>
      <c r="D54">
        <v>1.54</v>
      </c>
      <c r="E54">
        <f>C54-D54</f>
        <v>-0.34000000000000008</v>
      </c>
      <c r="F54" t="e">
        <f>'well dims'!#REF!+E54</f>
        <v>#REF!</v>
      </c>
      <c r="J54" t="s">
        <v>30</v>
      </c>
      <c r="L54" s="2" t="s">
        <v>45</v>
      </c>
    </row>
    <row r="55" spans="1:12" hidden="1" x14ac:dyDescent="0.75">
      <c r="A55" s="1">
        <v>45764</v>
      </c>
      <c r="B55" t="s">
        <v>11</v>
      </c>
      <c r="C55">
        <v>0.41499999999999998</v>
      </c>
      <c r="D55">
        <v>0.68</v>
      </c>
      <c r="E55">
        <f>C56-D55</f>
        <v>7.4999999999999956E-2</v>
      </c>
      <c r="F55" t="e">
        <f>'well dims'!#REF!-E55</f>
        <v>#REF!</v>
      </c>
      <c r="G55">
        <v>16.5</v>
      </c>
      <c r="H55">
        <v>6.4</v>
      </c>
      <c r="J55" t="s">
        <v>8</v>
      </c>
    </row>
    <row r="56" spans="1:12" hidden="1" x14ac:dyDescent="0.75">
      <c r="A56" s="1">
        <v>45764</v>
      </c>
      <c r="B56" t="s">
        <v>12</v>
      </c>
      <c r="C56">
        <v>0.755</v>
      </c>
      <c r="D56">
        <v>1.0649999999999999</v>
      </c>
      <c r="E56">
        <f>C57-D56</f>
        <v>-0.82499999999999996</v>
      </c>
      <c r="G56">
        <v>18.600000000000001</v>
      </c>
      <c r="H56">
        <v>6.12</v>
      </c>
      <c r="J56" t="s">
        <v>8</v>
      </c>
    </row>
    <row r="57" spans="1:12" hidden="1" x14ac:dyDescent="0.75">
      <c r="A57" s="1">
        <v>45764</v>
      </c>
      <c r="B57" t="s">
        <v>13</v>
      </c>
      <c r="C57">
        <v>0.24</v>
      </c>
      <c r="D57">
        <v>1.23</v>
      </c>
      <c r="E57">
        <f>C58-D57</f>
        <v>-1.1399999999999999</v>
      </c>
      <c r="G57">
        <v>18.7</v>
      </c>
      <c r="H57">
        <v>5.25</v>
      </c>
      <c r="J57" t="s">
        <v>8</v>
      </c>
    </row>
    <row r="58" spans="1:12" hidden="1" x14ac:dyDescent="0.75">
      <c r="A58" s="1">
        <v>45764</v>
      </c>
      <c r="B58" t="s">
        <v>14</v>
      </c>
      <c r="C58">
        <v>0.09</v>
      </c>
      <c r="D58">
        <v>0.32500000000000001</v>
      </c>
      <c r="E58">
        <f>C59-D58</f>
        <v>-0.24</v>
      </c>
      <c r="F58" t="e">
        <f>'well dims'!#REF!+E58</f>
        <v>#REF!</v>
      </c>
      <c r="G58">
        <v>18.600000000000001</v>
      </c>
      <c r="H58">
        <v>4.0999999999999996</v>
      </c>
      <c r="J58" t="s">
        <v>8</v>
      </c>
    </row>
    <row r="59" spans="1:12" hidden="1" x14ac:dyDescent="0.75">
      <c r="A59" s="1">
        <v>45764</v>
      </c>
      <c r="B59" t="s">
        <v>15</v>
      </c>
      <c r="C59">
        <v>8.5000000000000006E-2</v>
      </c>
      <c r="D59">
        <v>0.83499999999999996</v>
      </c>
      <c r="E59">
        <f>C61-D59</f>
        <v>-5.0000000000000044E-3</v>
      </c>
      <c r="G59">
        <v>18.8</v>
      </c>
      <c r="H59">
        <v>4.46</v>
      </c>
      <c r="J59" t="s">
        <v>8</v>
      </c>
    </row>
    <row r="60" spans="1:12" hidden="1" x14ac:dyDescent="0.75">
      <c r="A60" s="1">
        <v>45764</v>
      </c>
      <c r="B60" t="s">
        <v>16</v>
      </c>
      <c r="G60">
        <v>17.7</v>
      </c>
      <c r="J60" t="s">
        <v>30</v>
      </c>
    </row>
    <row r="61" spans="1:12" hidden="1" x14ac:dyDescent="0.75">
      <c r="A61" s="1">
        <v>45764</v>
      </c>
      <c r="B61" t="s">
        <v>27</v>
      </c>
      <c r="C61">
        <v>0.83</v>
      </c>
      <c r="D61">
        <v>1.2050000000000001</v>
      </c>
      <c r="E61">
        <f t="shared" ref="E61:E70" si="3">C63-D61</f>
        <v>-0.31500000000000006</v>
      </c>
      <c r="G61">
        <v>179</v>
      </c>
      <c r="H61">
        <v>5.56</v>
      </c>
      <c r="J61" t="s">
        <v>8</v>
      </c>
    </row>
    <row r="62" spans="1:12" hidden="1" x14ac:dyDescent="0.75">
      <c r="A62" s="1">
        <v>45764</v>
      </c>
      <c r="B62" t="s">
        <v>17</v>
      </c>
      <c r="C62">
        <v>0.16</v>
      </c>
      <c r="D62">
        <v>0.98</v>
      </c>
      <c r="E62">
        <f t="shared" si="3"/>
        <v>-0.94</v>
      </c>
      <c r="G62">
        <v>18.399999999999999</v>
      </c>
      <c r="H62">
        <v>3.99</v>
      </c>
      <c r="J62" t="s">
        <v>8</v>
      </c>
    </row>
    <row r="63" spans="1:12" hidden="1" x14ac:dyDescent="0.75">
      <c r="A63" s="1">
        <v>45764</v>
      </c>
      <c r="B63" t="s">
        <v>18</v>
      </c>
      <c r="C63">
        <v>0.89</v>
      </c>
      <c r="D63">
        <v>1.405</v>
      </c>
      <c r="E63">
        <f t="shared" si="3"/>
        <v>-1.155</v>
      </c>
      <c r="G63">
        <v>18.3</v>
      </c>
      <c r="H63">
        <v>4</v>
      </c>
      <c r="J63" t="s">
        <v>8</v>
      </c>
    </row>
    <row r="64" spans="1:12" hidden="1" x14ac:dyDescent="0.75">
      <c r="A64" s="1">
        <v>45764</v>
      </c>
      <c r="B64" t="s">
        <v>19</v>
      </c>
      <c r="C64">
        <v>0.04</v>
      </c>
      <c r="D64">
        <v>0.83</v>
      </c>
      <c r="E64">
        <f t="shared" si="3"/>
        <v>-0.71</v>
      </c>
      <c r="F64" t="e">
        <f>'well dims'!#REF!+E64</f>
        <v>#REF!</v>
      </c>
      <c r="G64">
        <v>18.8</v>
      </c>
      <c r="H64">
        <v>4.26</v>
      </c>
      <c r="J64" t="s">
        <v>8</v>
      </c>
    </row>
    <row r="65" spans="1:12" hidden="1" x14ac:dyDescent="0.75">
      <c r="A65" s="1">
        <v>45764</v>
      </c>
      <c r="B65" t="s">
        <v>20</v>
      </c>
      <c r="C65">
        <v>0.25</v>
      </c>
      <c r="D65">
        <v>0.53500000000000003</v>
      </c>
      <c r="E65">
        <f t="shared" si="3"/>
        <v>-0.27500000000000002</v>
      </c>
      <c r="G65">
        <v>18.2</v>
      </c>
      <c r="H65">
        <v>4.0199999999999996</v>
      </c>
      <c r="J65" t="s">
        <v>8</v>
      </c>
    </row>
    <row r="66" spans="1:12" x14ac:dyDescent="0.75">
      <c r="A66" s="1">
        <v>45764</v>
      </c>
      <c r="B66" t="s">
        <v>21</v>
      </c>
      <c r="C66">
        <v>0.12</v>
      </c>
      <c r="D66">
        <v>1.925</v>
      </c>
      <c r="E66">
        <f t="shared" si="3"/>
        <v>-1.925</v>
      </c>
      <c r="G66">
        <v>19.899999999999999</v>
      </c>
      <c r="H66">
        <v>4.4800000000000004</v>
      </c>
      <c r="J66" t="s">
        <v>8</v>
      </c>
    </row>
    <row r="67" spans="1:12" hidden="1" x14ac:dyDescent="0.75">
      <c r="A67" s="1">
        <v>45764</v>
      </c>
      <c r="B67" t="s">
        <v>22</v>
      </c>
      <c r="C67">
        <v>0.26</v>
      </c>
      <c r="D67">
        <v>0.625</v>
      </c>
      <c r="E67">
        <f t="shared" si="3"/>
        <v>-0.625</v>
      </c>
      <c r="F67" t="e">
        <f>'well dims'!#REF!+E67</f>
        <v>#REF!</v>
      </c>
      <c r="G67">
        <v>17.8</v>
      </c>
      <c r="J67" t="s">
        <v>8</v>
      </c>
    </row>
    <row r="68" spans="1:12" hidden="1" x14ac:dyDescent="0.75">
      <c r="A68" s="1">
        <v>45764</v>
      </c>
      <c r="B68" t="s">
        <v>23</v>
      </c>
      <c r="C68">
        <v>0</v>
      </c>
      <c r="D68">
        <v>0.66500000000000004</v>
      </c>
      <c r="E68">
        <f t="shared" si="3"/>
        <v>-0.33500000000000002</v>
      </c>
      <c r="F68" t="e">
        <f>'well dims'!#REF!+E68</f>
        <v>#REF!</v>
      </c>
      <c r="G68">
        <v>19.8</v>
      </c>
      <c r="J68" t="s">
        <v>8</v>
      </c>
    </row>
    <row r="69" spans="1:12" hidden="1" x14ac:dyDescent="0.75">
      <c r="A69" s="1">
        <v>45764</v>
      </c>
      <c r="B69" t="s">
        <v>24</v>
      </c>
      <c r="C69">
        <v>0</v>
      </c>
      <c r="D69">
        <v>0.73499999999999999</v>
      </c>
      <c r="E69">
        <f t="shared" si="3"/>
        <v>-0.70499999999999996</v>
      </c>
      <c r="F69" t="e">
        <f>'well dims'!#REF!+E69</f>
        <v>#REF!</v>
      </c>
      <c r="G69">
        <v>20.2</v>
      </c>
      <c r="J69" t="s">
        <v>8</v>
      </c>
    </row>
    <row r="70" spans="1:12" hidden="1" x14ac:dyDescent="0.75">
      <c r="A70" s="1">
        <v>45764</v>
      </c>
      <c r="B70" t="s">
        <v>25</v>
      </c>
      <c r="C70">
        <v>0.33</v>
      </c>
      <c r="D70">
        <v>1.335</v>
      </c>
      <c r="E70">
        <f t="shared" si="3"/>
        <v>-0.89500000000000002</v>
      </c>
      <c r="F70" t="e">
        <f>'well dims'!#REF!+log!E70</f>
        <v>#REF!</v>
      </c>
      <c r="G70">
        <v>19.399999999999999</v>
      </c>
      <c r="J70" t="s">
        <v>8</v>
      </c>
    </row>
    <row r="71" spans="1:12" hidden="1" x14ac:dyDescent="0.75">
      <c r="A71" s="1">
        <v>45764</v>
      </c>
      <c r="B71" t="s">
        <v>29</v>
      </c>
      <c r="C71">
        <v>0.03</v>
      </c>
      <c r="J71" t="s">
        <v>8</v>
      </c>
      <c r="L71" t="s">
        <v>31</v>
      </c>
    </row>
    <row r="72" spans="1:12" hidden="1" x14ac:dyDescent="0.75">
      <c r="A72" s="1">
        <v>45400</v>
      </c>
      <c r="B72" t="s">
        <v>2</v>
      </c>
      <c r="C72">
        <v>0.44</v>
      </c>
      <c r="D72">
        <v>1.54</v>
      </c>
      <c r="E72">
        <f>C72-D72</f>
        <v>-1.1000000000000001</v>
      </c>
      <c r="F72" t="e">
        <f>'well dims'!#REF!+E72</f>
        <v>#REF!</v>
      </c>
      <c r="H72">
        <v>5.41</v>
      </c>
      <c r="J72" t="s">
        <v>8</v>
      </c>
    </row>
    <row r="73" spans="1:12" hidden="1" x14ac:dyDescent="0.75">
      <c r="A73" s="1">
        <v>45400</v>
      </c>
      <c r="B73" t="s">
        <v>11</v>
      </c>
      <c r="C73">
        <v>0.41499999999999998</v>
      </c>
      <c r="D73">
        <v>0.44700000000000001</v>
      </c>
      <c r="E73">
        <f t="shared" ref="E73:E86" si="4">C73-D73</f>
        <v>-3.2000000000000028E-2</v>
      </c>
      <c r="F73" t="e">
        <f>'well dims'!#REF!-E73</f>
        <v>#REF!</v>
      </c>
      <c r="H73">
        <v>5.8</v>
      </c>
      <c r="J73" t="s">
        <v>8</v>
      </c>
    </row>
    <row r="74" spans="1:12" hidden="1" x14ac:dyDescent="0.75">
      <c r="A74" s="1">
        <v>45400</v>
      </c>
      <c r="B74" t="s">
        <v>12</v>
      </c>
      <c r="C74">
        <v>0.755</v>
      </c>
      <c r="D74">
        <v>1.25</v>
      </c>
      <c r="E74">
        <f t="shared" si="4"/>
        <v>-0.495</v>
      </c>
      <c r="H74">
        <v>6.1</v>
      </c>
      <c r="J74" t="s">
        <v>8</v>
      </c>
    </row>
    <row r="75" spans="1:12" hidden="1" x14ac:dyDescent="0.75">
      <c r="A75" s="1">
        <v>45400</v>
      </c>
      <c r="B75" t="s">
        <v>13</v>
      </c>
      <c r="C75">
        <v>0.75</v>
      </c>
      <c r="D75">
        <v>1.63</v>
      </c>
      <c r="E75">
        <f t="shared" si="4"/>
        <v>-0.87999999999999989</v>
      </c>
      <c r="H75">
        <v>6.67</v>
      </c>
      <c r="J75" t="s">
        <v>8</v>
      </c>
    </row>
    <row r="76" spans="1:12" hidden="1" x14ac:dyDescent="0.75">
      <c r="A76" s="1">
        <v>45400</v>
      </c>
      <c r="B76" t="s">
        <v>14</v>
      </c>
      <c r="C76">
        <v>0.09</v>
      </c>
      <c r="D76">
        <v>0.86</v>
      </c>
      <c r="E76">
        <f t="shared" si="4"/>
        <v>-0.77</v>
      </c>
      <c r="F76" t="e">
        <f>'well dims'!#REF!+E76</f>
        <v>#REF!</v>
      </c>
      <c r="H76">
        <v>6.2</v>
      </c>
      <c r="J76" t="s">
        <v>8</v>
      </c>
    </row>
    <row r="77" spans="1:12" hidden="1" x14ac:dyDescent="0.75">
      <c r="A77" s="1">
        <v>45400</v>
      </c>
      <c r="B77" t="s">
        <v>15</v>
      </c>
      <c r="C77">
        <v>0.79</v>
      </c>
      <c r="D77">
        <v>1.33</v>
      </c>
      <c r="E77">
        <f t="shared" si="4"/>
        <v>-0.54</v>
      </c>
      <c r="J77" t="s">
        <v>8</v>
      </c>
    </row>
    <row r="78" spans="1:12" hidden="1" x14ac:dyDescent="0.75">
      <c r="A78" s="1">
        <v>45400</v>
      </c>
      <c r="B78" t="s">
        <v>17</v>
      </c>
      <c r="C78">
        <v>0.16</v>
      </c>
      <c r="D78">
        <v>1.1299999999999999</v>
      </c>
      <c r="E78">
        <f t="shared" si="4"/>
        <v>-0.96999999999999986</v>
      </c>
      <c r="H78">
        <v>4.76</v>
      </c>
      <c r="J78" t="s">
        <v>8</v>
      </c>
    </row>
    <row r="79" spans="1:12" hidden="1" x14ac:dyDescent="0.75">
      <c r="A79" s="1">
        <v>45400</v>
      </c>
      <c r="B79" t="s">
        <v>18</v>
      </c>
      <c r="C79">
        <v>0.89</v>
      </c>
      <c r="D79">
        <v>0.82</v>
      </c>
      <c r="E79">
        <v>0</v>
      </c>
      <c r="H79">
        <v>4.5999999999999996</v>
      </c>
      <c r="J79" t="s">
        <v>8</v>
      </c>
    </row>
    <row r="80" spans="1:12" hidden="1" x14ac:dyDescent="0.75">
      <c r="A80" s="1">
        <v>45400</v>
      </c>
      <c r="B80" t="s">
        <v>19</v>
      </c>
      <c r="C80">
        <v>0.04</v>
      </c>
      <c r="D80">
        <v>1.42</v>
      </c>
      <c r="E80">
        <f t="shared" si="4"/>
        <v>-1.38</v>
      </c>
      <c r="F80" t="e">
        <f>'well dims'!#REF!+E80</f>
        <v>#REF!</v>
      </c>
      <c r="H80">
        <v>5.0999999999999996</v>
      </c>
      <c r="J80" t="s">
        <v>8</v>
      </c>
    </row>
    <row r="81" spans="1:11" hidden="1" x14ac:dyDescent="0.75">
      <c r="A81" s="1">
        <v>45400</v>
      </c>
      <c r="B81" t="s">
        <v>20</v>
      </c>
      <c r="C81">
        <v>0.25</v>
      </c>
      <c r="D81">
        <v>0.45</v>
      </c>
      <c r="E81">
        <f t="shared" si="4"/>
        <v>-0.2</v>
      </c>
      <c r="H81">
        <v>4.7</v>
      </c>
      <c r="J81" t="s">
        <v>8</v>
      </c>
    </row>
    <row r="82" spans="1:11" x14ac:dyDescent="0.75">
      <c r="A82" s="1">
        <v>45400</v>
      </c>
      <c r="B82" t="s">
        <v>21</v>
      </c>
      <c r="C82">
        <v>0.12</v>
      </c>
      <c r="D82">
        <v>2.17</v>
      </c>
      <c r="E82">
        <f t="shared" si="4"/>
        <v>-2.0499999999999998</v>
      </c>
      <c r="J82" t="s">
        <v>8</v>
      </c>
    </row>
    <row r="83" spans="1:11" hidden="1" x14ac:dyDescent="0.75">
      <c r="A83" s="1">
        <v>45400</v>
      </c>
      <c r="B83" t="s">
        <v>22</v>
      </c>
      <c r="C83">
        <v>0.26</v>
      </c>
      <c r="D83">
        <v>0.55000000000000004</v>
      </c>
      <c r="E83">
        <f t="shared" si="4"/>
        <v>-0.29000000000000004</v>
      </c>
      <c r="F83" t="e">
        <f>'well dims'!#REF!+E83</f>
        <v>#REF!</v>
      </c>
      <c r="H83">
        <v>4.7699999999999996</v>
      </c>
      <c r="J83" t="s">
        <v>8</v>
      </c>
    </row>
    <row r="84" spans="1:11" hidden="1" x14ac:dyDescent="0.75">
      <c r="A84" s="1">
        <v>45400</v>
      </c>
      <c r="B84" t="s">
        <v>23</v>
      </c>
      <c r="C84">
        <v>0</v>
      </c>
      <c r="D84">
        <v>0.83</v>
      </c>
      <c r="E84">
        <f t="shared" si="4"/>
        <v>-0.83</v>
      </c>
      <c r="F84" t="e">
        <f>'well dims'!#REF!+E84</f>
        <v>#REF!</v>
      </c>
      <c r="H84">
        <v>4.72</v>
      </c>
      <c r="J84" t="s">
        <v>8</v>
      </c>
    </row>
    <row r="85" spans="1:11" hidden="1" x14ac:dyDescent="0.75">
      <c r="A85" s="1">
        <v>45400</v>
      </c>
      <c r="B85" t="s">
        <v>24</v>
      </c>
      <c r="C85">
        <v>0.74</v>
      </c>
      <c r="D85">
        <v>1.33</v>
      </c>
      <c r="E85">
        <f t="shared" si="4"/>
        <v>-0.59000000000000008</v>
      </c>
      <c r="F85" t="e">
        <f>'well dims'!#REF!+E85</f>
        <v>#REF!</v>
      </c>
      <c r="H85">
        <v>4.84</v>
      </c>
      <c r="J85" t="s">
        <v>8</v>
      </c>
    </row>
    <row r="86" spans="1:11" hidden="1" x14ac:dyDescent="0.75">
      <c r="A86" s="1">
        <v>45400</v>
      </c>
      <c r="B86" t="s">
        <v>25</v>
      </c>
      <c r="C86">
        <v>0.33</v>
      </c>
      <c r="D86">
        <v>1.1599999999999999</v>
      </c>
      <c r="E86">
        <f t="shared" si="4"/>
        <v>-0.82999999999999985</v>
      </c>
      <c r="F86" t="e">
        <f>'well dims'!#REF!+log!E86</f>
        <v>#REF!</v>
      </c>
      <c r="H86">
        <v>5.18</v>
      </c>
      <c r="J86" t="s">
        <v>8</v>
      </c>
    </row>
    <row r="87" spans="1:11" hidden="1" x14ac:dyDescent="0.75">
      <c r="A87" s="1">
        <v>45463</v>
      </c>
      <c r="B87" t="s">
        <v>2</v>
      </c>
      <c r="C87">
        <v>0.44</v>
      </c>
      <c r="D87">
        <v>1.05</v>
      </c>
      <c r="E87">
        <f>C87-D87</f>
        <v>-0.6100000000000001</v>
      </c>
      <c r="F87" t="e">
        <f>'well dims'!#REF!+E87</f>
        <v>#REF!</v>
      </c>
      <c r="J87" s="3" t="s">
        <v>30</v>
      </c>
      <c r="K87" s="3"/>
    </row>
    <row r="88" spans="1:11" hidden="1" x14ac:dyDescent="0.75">
      <c r="A88" s="1">
        <v>45457</v>
      </c>
      <c r="B88" t="s">
        <v>11</v>
      </c>
      <c r="C88">
        <v>0.41499999999999998</v>
      </c>
      <c r="D88">
        <v>0.97</v>
      </c>
      <c r="E88">
        <f t="shared" ref="E88:E100" si="5">C88-D88</f>
        <v>-0.55499999999999994</v>
      </c>
      <c r="F88" t="e">
        <f>'well dims'!#REF!-E88</f>
        <v>#REF!</v>
      </c>
      <c r="J88" t="s">
        <v>30</v>
      </c>
    </row>
    <row r="89" spans="1:11" hidden="1" x14ac:dyDescent="0.75">
      <c r="A89" s="1">
        <v>45462</v>
      </c>
      <c r="B89" t="s">
        <v>12</v>
      </c>
      <c r="C89">
        <v>0.755</v>
      </c>
      <c r="D89">
        <v>1.51</v>
      </c>
      <c r="E89">
        <f t="shared" si="5"/>
        <v>-0.755</v>
      </c>
      <c r="G89">
        <v>27</v>
      </c>
      <c r="H89">
        <v>5.37</v>
      </c>
      <c r="J89" s="3" t="s">
        <v>8</v>
      </c>
      <c r="K89" s="3"/>
    </row>
    <row r="90" spans="1:11" hidden="1" x14ac:dyDescent="0.75">
      <c r="A90" s="1">
        <v>45463</v>
      </c>
      <c r="B90" t="s">
        <v>13</v>
      </c>
      <c r="C90">
        <v>0.24</v>
      </c>
      <c r="D90">
        <v>1.49</v>
      </c>
      <c r="E90">
        <f t="shared" si="5"/>
        <v>-1.25</v>
      </c>
      <c r="H90">
        <v>4.87</v>
      </c>
      <c r="J90" t="s">
        <v>30</v>
      </c>
    </row>
    <row r="91" spans="1:11" hidden="1" x14ac:dyDescent="0.75">
      <c r="A91" s="1">
        <v>45462</v>
      </c>
      <c r="B91" t="s">
        <v>14</v>
      </c>
      <c r="C91">
        <v>0.09</v>
      </c>
      <c r="D91">
        <v>0.87</v>
      </c>
      <c r="E91">
        <f t="shared" si="5"/>
        <v>-0.78</v>
      </c>
      <c r="F91" t="e">
        <f>'well dims'!#REF!+E91</f>
        <v>#REF!</v>
      </c>
      <c r="J91" s="3" t="s">
        <v>8</v>
      </c>
      <c r="K91" s="3"/>
    </row>
    <row r="92" spans="1:11" hidden="1" x14ac:dyDescent="0.75">
      <c r="A92" s="1">
        <v>45463</v>
      </c>
      <c r="B92" t="s">
        <v>15</v>
      </c>
      <c r="C92">
        <v>8.5000000000000006E-2</v>
      </c>
      <c r="D92">
        <v>1.31</v>
      </c>
      <c r="E92">
        <f t="shared" si="5"/>
        <v>-1.2250000000000001</v>
      </c>
      <c r="J92" t="s">
        <v>55</v>
      </c>
    </row>
    <row r="93" spans="1:11" hidden="1" x14ac:dyDescent="0.75">
      <c r="A93" s="1">
        <v>45462</v>
      </c>
      <c r="B93" t="s">
        <v>16</v>
      </c>
    </row>
    <row r="94" spans="1:11" hidden="1" x14ac:dyDescent="0.75">
      <c r="A94" s="1">
        <v>45463</v>
      </c>
      <c r="B94" t="s">
        <v>17</v>
      </c>
      <c r="C94">
        <v>0.16</v>
      </c>
      <c r="D94">
        <v>1.89</v>
      </c>
      <c r="E94">
        <f t="shared" si="5"/>
        <v>-1.73</v>
      </c>
      <c r="H94">
        <v>4.8</v>
      </c>
      <c r="J94" t="s">
        <v>30</v>
      </c>
    </row>
    <row r="95" spans="1:11" hidden="1" x14ac:dyDescent="0.75">
      <c r="A95" s="1">
        <v>45463</v>
      </c>
      <c r="B95" t="s">
        <v>18</v>
      </c>
      <c r="C95">
        <v>0.89</v>
      </c>
      <c r="D95">
        <v>2.33</v>
      </c>
      <c r="E95">
        <f t="shared" si="5"/>
        <v>-1.44</v>
      </c>
      <c r="H95">
        <v>4.7699999999999996</v>
      </c>
      <c r="J95" t="s">
        <v>30</v>
      </c>
    </row>
    <row r="96" spans="1:11" hidden="1" x14ac:dyDescent="0.75">
      <c r="A96" s="1">
        <v>45463</v>
      </c>
      <c r="B96" t="s">
        <v>20</v>
      </c>
      <c r="C96">
        <v>0.25</v>
      </c>
      <c r="D96">
        <v>1.91</v>
      </c>
      <c r="E96">
        <f t="shared" si="5"/>
        <v>-1.66</v>
      </c>
      <c r="J96" t="s">
        <v>30</v>
      </c>
    </row>
    <row r="97" spans="1:10" x14ac:dyDescent="0.75">
      <c r="A97" s="1">
        <v>45463</v>
      </c>
      <c r="B97" t="s">
        <v>21</v>
      </c>
      <c r="C97">
        <v>0.12</v>
      </c>
      <c r="D97">
        <v>3.79</v>
      </c>
      <c r="E97">
        <f t="shared" si="5"/>
        <v>-3.67</v>
      </c>
      <c r="J97" t="s">
        <v>30</v>
      </c>
    </row>
    <row r="98" spans="1:10" hidden="1" x14ac:dyDescent="0.75">
      <c r="A98" s="1">
        <v>45463</v>
      </c>
      <c r="B98" t="s">
        <v>22</v>
      </c>
      <c r="C98">
        <v>0.26</v>
      </c>
      <c r="D98">
        <v>1.1299999999999999</v>
      </c>
      <c r="E98">
        <f t="shared" si="5"/>
        <v>-0.86999999999999988</v>
      </c>
      <c r="F98" t="e">
        <f>'well dims'!#REF!+E98</f>
        <v>#REF!</v>
      </c>
      <c r="J98" t="s">
        <v>30</v>
      </c>
    </row>
    <row r="99" spans="1:10" hidden="1" x14ac:dyDescent="0.75">
      <c r="A99" s="1">
        <v>45463</v>
      </c>
      <c r="B99" t="s">
        <v>23</v>
      </c>
      <c r="C99">
        <v>0</v>
      </c>
      <c r="D99">
        <v>1.77</v>
      </c>
      <c r="E99">
        <f t="shared" si="5"/>
        <v>-1.77</v>
      </c>
      <c r="F99" t="e">
        <f>'well dims'!#REF!+E99</f>
        <v>#REF!</v>
      </c>
      <c r="J99" t="s">
        <v>55</v>
      </c>
    </row>
    <row r="100" spans="1:10" hidden="1" x14ac:dyDescent="0.75">
      <c r="A100" s="1">
        <v>45463</v>
      </c>
      <c r="B100" t="s">
        <v>25</v>
      </c>
      <c r="C100">
        <v>0.33</v>
      </c>
      <c r="D100">
        <v>1.58</v>
      </c>
      <c r="E100">
        <f t="shared" si="5"/>
        <v>-1.25</v>
      </c>
      <c r="F100" t="e">
        <f>'well dims'!#REF!+log!E100</f>
        <v>#REF!</v>
      </c>
      <c r="J100" t="s">
        <v>30</v>
      </c>
    </row>
    <row r="101" spans="1:10" hidden="1" x14ac:dyDescent="0.75">
      <c r="A101" s="1">
        <v>45484</v>
      </c>
      <c r="B101" t="s">
        <v>2</v>
      </c>
      <c r="C101">
        <v>0.44</v>
      </c>
      <c r="E101">
        <f>C101-D101</f>
        <v>0.44</v>
      </c>
      <c r="F101" t="e">
        <f>'well dims'!#REF!+E101</f>
        <v>#REF!</v>
      </c>
      <c r="G101">
        <v>26</v>
      </c>
      <c r="H101">
        <v>5.0999999999999996</v>
      </c>
      <c r="J101" t="s">
        <v>8</v>
      </c>
    </row>
    <row r="102" spans="1:10" hidden="1" x14ac:dyDescent="0.75">
      <c r="A102" s="1">
        <v>45484</v>
      </c>
      <c r="B102" t="s">
        <v>11</v>
      </c>
      <c r="C102">
        <v>0.41499999999999998</v>
      </c>
      <c r="E102">
        <v>7.0000000000000007E-2</v>
      </c>
      <c r="F102" t="e">
        <f>'well dims'!#REF!-E102</f>
        <v>#REF!</v>
      </c>
      <c r="G102">
        <v>25.7</v>
      </c>
      <c r="H102">
        <v>5.47</v>
      </c>
      <c r="J102" t="s">
        <v>8</v>
      </c>
    </row>
    <row r="103" spans="1:10" hidden="1" x14ac:dyDescent="0.75">
      <c r="A103" s="1">
        <v>45484</v>
      </c>
      <c r="B103" t="s">
        <v>12</v>
      </c>
      <c r="C103">
        <v>0.755</v>
      </c>
      <c r="E103">
        <v>0.04</v>
      </c>
      <c r="G103">
        <v>24.9</v>
      </c>
      <c r="H103">
        <v>5.47</v>
      </c>
      <c r="J103" t="s">
        <v>8</v>
      </c>
    </row>
    <row r="104" spans="1:10" hidden="1" x14ac:dyDescent="0.75">
      <c r="A104" s="1">
        <v>45484</v>
      </c>
      <c r="B104" t="s">
        <v>13</v>
      </c>
      <c r="C104">
        <v>0.24</v>
      </c>
      <c r="D104">
        <v>0.47</v>
      </c>
      <c r="E104">
        <v>0.01</v>
      </c>
      <c r="G104">
        <v>25.6</v>
      </c>
      <c r="H104">
        <v>4.97</v>
      </c>
      <c r="J104" t="s">
        <v>8</v>
      </c>
    </row>
    <row r="105" spans="1:10" hidden="1" x14ac:dyDescent="0.75">
      <c r="A105" s="1">
        <v>45484</v>
      </c>
      <c r="B105" t="s">
        <v>14</v>
      </c>
      <c r="C105">
        <v>0.09</v>
      </c>
      <c r="E105">
        <v>0.16</v>
      </c>
      <c r="F105" t="e">
        <f>'well dims'!#REF!+E105</f>
        <v>#REF!</v>
      </c>
      <c r="G105">
        <v>25.9</v>
      </c>
      <c r="H105">
        <v>3.8</v>
      </c>
      <c r="J105" t="s">
        <v>8</v>
      </c>
    </row>
    <row r="106" spans="1:10" hidden="1" x14ac:dyDescent="0.75">
      <c r="A106" s="1">
        <v>45484</v>
      </c>
      <c r="B106" t="s">
        <v>15</v>
      </c>
      <c r="C106">
        <v>8.5000000000000006E-2</v>
      </c>
      <c r="D106">
        <v>0.25</v>
      </c>
      <c r="E106">
        <f>C106-D106</f>
        <v>-0.16499999999999998</v>
      </c>
      <c r="G106">
        <v>227</v>
      </c>
      <c r="H106">
        <v>3.87</v>
      </c>
      <c r="J106" t="s">
        <v>8</v>
      </c>
    </row>
    <row r="107" spans="1:10" hidden="1" x14ac:dyDescent="0.75">
      <c r="A107" s="1">
        <v>45484</v>
      </c>
      <c r="B107" t="s">
        <v>16</v>
      </c>
      <c r="E107">
        <v>0.4</v>
      </c>
      <c r="G107">
        <v>23</v>
      </c>
      <c r="H107">
        <v>5.2</v>
      </c>
      <c r="J107" t="s">
        <v>8</v>
      </c>
    </row>
    <row r="108" spans="1:10" hidden="1" x14ac:dyDescent="0.75">
      <c r="A108" s="1">
        <v>45484</v>
      </c>
      <c r="B108" t="s">
        <v>18</v>
      </c>
      <c r="C108">
        <v>0.89</v>
      </c>
      <c r="D108">
        <v>1.32</v>
      </c>
      <c r="E108">
        <f>C108-D108</f>
        <v>-0.43000000000000005</v>
      </c>
      <c r="G108">
        <v>25.89</v>
      </c>
      <c r="H108">
        <v>3.5</v>
      </c>
      <c r="J108" t="s">
        <v>8</v>
      </c>
    </row>
    <row r="109" spans="1:10" hidden="1" x14ac:dyDescent="0.75">
      <c r="A109" s="1">
        <v>45484</v>
      </c>
      <c r="B109" t="s">
        <v>20</v>
      </c>
      <c r="C109">
        <v>0.25</v>
      </c>
      <c r="D109">
        <v>0.54</v>
      </c>
      <c r="E109">
        <f t="shared" ref="E109:E110" si="6">C109-D109</f>
        <v>-0.29000000000000004</v>
      </c>
      <c r="G109">
        <v>26.57</v>
      </c>
      <c r="H109">
        <v>3.68</v>
      </c>
      <c r="J109" t="s">
        <v>8</v>
      </c>
    </row>
    <row r="110" spans="1:10" x14ac:dyDescent="0.75">
      <c r="A110" s="1">
        <v>45484</v>
      </c>
      <c r="B110" t="s">
        <v>21</v>
      </c>
      <c r="C110">
        <v>0.12</v>
      </c>
      <c r="D110">
        <v>3.14</v>
      </c>
      <c r="E110">
        <f t="shared" si="6"/>
        <v>-3.02</v>
      </c>
      <c r="G110">
        <v>28</v>
      </c>
      <c r="J110" t="s">
        <v>30</v>
      </c>
    </row>
    <row r="111" spans="1:10" hidden="1" x14ac:dyDescent="0.75">
      <c r="A111" s="1">
        <v>45484</v>
      </c>
      <c r="B111" t="s">
        <v>22</v>
      </c>
      <c r="C111">
        <v>3.6</v>
      </c>
      <c r="F111">
        <v>0</v>
      </c>
      <c r="J111" t="s">
        <v>55</v>
      </c>
    </row>
    <row r="112" spans="1:10" hidden="1" x14ac:dyDescent="0.75">
      <c r="A112" s="1">
        <v>45484</v>
      </c>
      <c r="B112" t="s">
        <v>23</v>
      </c>
      <c r="C112">
        <v>4.4249999999999998</v>
      </c>
      <c r="E112">
        <v>0.05</v>
      </c>
      <c r="F112" t="e">
        <f>'well dims'!#REF!+E112</f>
        <v>#REF!</v>
      </c>
      <c r="G112">
        <v>28.7</v>
      </c>
      <c r="H112">
        <v>3.63</v>
      </c>
      <c r="J112" t="s">
        <v>8</v>
      </c>
    </row>
    <row r="113" spans="1:10" hidden="1" x14ac:dyDescent="0.75">
      <c r="A113" s="1">
        <v>45484</v>
      </c>
      <c r="B113" t="s">
        <v>24</v>
      </c>
      <c r="C113">
        <v>1.1299999999999999</v>
      </c>
      <c r="E113">
        <v>0.14000000000000001</v>
      </c>
      <c r="F113" t="e">
        <f>'well dims'!#REF!+E113</f>
        <v>#REF!</v>
      </c>
      <c r="G113">
        <v>30.6</v>
      </c>
      <c r="H113">
        <v>3.76</v>
      </c>
      <c r="J113" t="s">
        <v>8</v>
      </c>
    </row>
    <row r="114" spans="1:10" hidden="1" x14ac:dyDescent="0.75">
      <c r="A114" s="1">
        <v>45484</v>
      </c>
      <c r="B114" t="s">
        <v>25</v>
      </c>
      <c r="C114">
        <v>2.25</v>
      </c>
      <c r="F114" t="e">
        <f>'well dims'!#REF!+log!E114</f>
        <v>#REF!</v>
      </c>
      <c r="J114" t="s">
        <v>55</v>
      </c>
    </row>
    <row r="115" spans="1:10" hidden="1" x14ac:dyDescent="0.75">
      <c r="A115" s="1">
        <v>45635</v>
      </c>
      <c r="B115" t="s">
        <v>2</v>
      </c>
      <c r="C115">
        <v>0.44</v>
      </c>
      <c r="D115">
        <v>1.05</v>
      </c>
      <c r="E115">
        <f>C115-D115</f>
        <v>-0.6100000000000001</v>
      </c>
      <c r="F115" t="e">
        <f>'well dims'!#REF!+E115</f>
        <v>#REF!</v>
      </c>
      <c r="G115">
        <v>15.9</v>
      </c>
      <c r="H115">
        <v>6.64</v>
      </c>
      <c r="J115" t="s">
        <v>30</v>
      </c>
    </row>
    <row r="116" spans="1:10" hidden="1" x14ac:dyDescent="0.75">
      <c r="A116" s="1">
        <v>45635</v>
      </c>
      <c r="B116" t="s">
        <v>11</v>
      </c>
      <c r="C116">
        <v>0.41499999999999998</v>
      </c>
      <c r="D116">
        <v>0.84</v>
      </c>
      <c r="E116">
        <v>5.7500000000000002E-2</v>
      </c>
      <c r="F116" t="e">
        <f>'well dims'!#REF!-E116</f>
        <v>#REF!</v>
      </c>
      <c r="G116">
        <v>17</v>
      </c>
      <c r="H116">
        <v>6.36</v>
      </c>
      <c r="J116" t="s">
        <v>8</v>
      </c>
    </row>
    <row r="117" spans="1:10" hidden="1" x14ac:dyDescent="0.75">
      <c r="A117" s="1">
        <v>45635</v>
      </c>
      <c r="B117" t="s">
        <v>12</v>
      </c>
      <c r="C117">
        <v>0.755</v>
      </c>
      <c r="D117">
        <v>1.08</v>
      </c>
      <c r="E117">
        <f>C117-D117</f>
        <v>-0.32500000000000007</v>
      </c>
      <c r="G117">
        <v>15.8</v>
      </c>
      <c r="H117">
        <v>6.78</v>
      </c>
      <c r="J117" t="s">
        <v>8</v>
      </c>
    </row>
    <row r="118" spans="1:10" hidden="1" x14ac:dyDescent="0.75">
      <c r="A118" s="1">
        <v>45635</v>
      </c>
      <c r="B118" t="s">
        <v>13</v>
      </c>
      <c r="C118">
        <v>0.24</v>
      </c>
      <c r="D118">
        <v>1.1000000000000001</v>
      </c>
      <c r="E118">
        <f t="shared" ref="E118:E132" si="7">C118-D118</f>
        <v>-0.8600000000000001</v>
      </c>
      <c r="G118">
        <v>17.5</v>
      </c>
      <c r="H118">
        <v>5.13</v>
      </c>
      <c r="J118" t="s">
        <v>8</v>
      </c>
    </row>
    <row r="119" spans="1:10" hidden="1" x14ac:dyDescent="0.75">
      <c r="A119" s="1">
        <v>45635</v>
      </c>
      <c r="B119" t="s">
        <v>14</v>
      </c>
      <c r="C119" s="3">
        <v>0.09</v>
      </c>
      <c r="D119">
        <v>0.35</v>
      </c>
      <c r="E119">
        <f t="shared" si="7"/>
        <v>-0.26</v>
      </c>
      <c r="F119" t="e">
        <f>'well dims'!#REF!+E119</f>
        <v>#REF!</v>
      </c>
      <c r="G119">
        <v>17.8</v>
      </c>
      <c r="H119">
        <v>4.2300000000000004</v>
      </c>
      <c r="J119" t="s">
        <v>8</v>
      </c>
    </row>
    <row r="120" spans="1:10" hidden="1" x14ac:dyDescent="0.75">
      <c r="A120" s="1">
        <v>45635</v>
      </c>
      <c r="B120" t="s">
        <v>15</v>
      </c>
      <c r="C120">
        <v>0.79</v>
      </c>
      <c r="D120">
        <v>1.63</v>
      </c>
      <c r="E120">
        <f t="shared" si="7"/>
        <v>-0.83999999999999986</v>
      </c>
      <c r="G120">
        <v>18.5</v>
      </c>
      <c r="H120">
        <v>4.9800000000000004</v>
      </c>
      <c r="J120" t="s">
        <v>8</v>
      </c>
    </row>
    <row r="121" spans="1:10" hidden="1" x14ac:dyDescent="0.75">
      <c r="A121" s="1">
        <v>45635</v>
      </c>
      <c r="B121" t="s">
        <v>16</v>
      </c>
      <c r="E121">
        <f t="shared" si="7"/>
        <v>0</v>
      </c>
      <c r="G121">
        <v>16.899999999999999</v>
      </c>
      <c r="H121">
        <v>5.76</v>
      </c>
      <c r="J121" t="s">
        <v>8</v>
      </c>
    </row>
    <row r="122" spans="1:10" hidden="1" x14ac:dyDescent="0.75">
      <c r="A122" s="1">
        <v>45635</v>
      </c>
      <c r="B122" t="s">
        <v>27</v>
      </c>
      <c r="C122">
        <v>0.74</v>
      </c>
      <c r="D122">
        <v>1.36</v>
      </c>
      <c r="E122">
        <f t="shared" si="7"/>
        <v>-0.62000000000000011</v>
      </c>
      <c r="G122">
        <v>17.100000000000001</v>
      </c>
      <c r="H122">
        <v>5.89</v>
      </c>
      <c r="J122" t="s">
        <v>8</v>
      </c>
    </row>
    <row r="123" spans="1:10" hidden="1" x14ac:dyDescent="0.75">
      <c r="A123" s="1">
        <v>45635</v>
      </c>
      <c r="B123" t="s">
        <v>17</v>
      </c>
      <c r="C123">
        <v>0.16</v>
      </c>
      <c r="D123">
        <v>1.19</v>
      </c>
      <c r="E123">
        <f t="shared" si="7"/>
        <v>-1.03</v>
      </c>
      <c r="G123">
        <v>18.899999999999999</v>
      </c>
      <c r="H123">
        <v>4.13</v>
      </c>
      <c r="J123" t="s">
        <v>30</v>
      </c>
    </row>
    <row r="124" spans="1:10" hidden="1" x14ac:dyDescent="0.75">
      <c r="A124" s="1">
        <v>45635</v>
      </c>
      <c r="B124" t="s">
        <v>18</v>
      </c>
      <c r="C124">
        <v>0.89</v>
      </c>
      <c r="D124">
        <v>1.6</v>
      </c>
      <c r="E124">
        <f t="shared" si="7"/>
        <v>-0.71000000000000008</v>
      </c>
      <c r="G124">
        <v>18.8</v>
      </c>
      <c r="H124">
        <v>4.3600000000000003</v>
      </c>
      <c r="J124" t="s">
        <v>8</v>
      </c>
    </row>
    <row r="125" spans="1:10" hidden="1" x14ac:dyDescent="0.75">
      <c r="A125" s="1">
        <v>45635</v>
      </c>
      <c r="B125" t="s">
        <v>19</v>
      </c>
      <c r="C125">
        <v>0.04</v>
      </c>
      <c r="D125">
        <v>1.05</v>
      </c>
      <c r="E125">
        <f t="shared" si="7"/>
        <v>-1.01</v>
      </c>
      <c r="F125" t="e">
        <f>'well dims'!#REF!+E125</f>
        <v>#REF!</v>
      </c>
      <c r="G125">
        <v>20.2</v>
      </c>
      <c r="H125">
        <v>4.9400000000000004</v>
      </c>
      <c r="J125" t="s">
        <v>8</v>
      </c>
    </row>
    <row r="126" spans="1:10" hidden="1" x14ac:dyDescent="0.75">
      <c r="A126" s="1">
        <v>45635</v>
      </c>
      <c r="B126" t="s">
        <v>20</v>
      </c>
      <c r="C126">
        <v>0.25</v>
      </c>
      <c r="D126">
        <v>0.66</v>
      </c>
      <c r="E126">
        <f t="shared" si="7"/>
        <v>-0.41000000000000003</v>
      </c>
      <c r="G126">
        <v>19.399999999999999</v>
      </c>
      <c r="H126">
        <v>4.1100000000000003</v>
      </c>
      <c r="J126" t="s">
        <v>8</v>
      </c>
    </row>
    <row r="127" spans="1:10" x14ac:dyDescent="0.75">
      <c r="A127" s="1">
        <v>45635</v>
      </c>
      <c r="B127" t="s">
        <v>21</v>
      </c>
      <c r="C127">
        <v>1.1100000000000001</v>
      </c>
      <c r="D127">
        <v>3.08</v>
      </c>
      <c r="E127">
        <f t="shared" si="7"/>
        <v>-1.97</v>
      </c>
      <c r="G127">
        <v>21.4</v>
      </c>
      <c r="H127">
        <v>4.51</v>
      </c>
      <c r="J127" t="s">
        <v>30</v>
      </c>
    </row>
    <row r="128" spans="1:10" hidden="1" x14ac:dyDescent="0.75">
      <c r="A128" s="1">
        <v>45635</v>
      </c>
      <c r="B128" t="s">
        <v>22</v>
      </c>
      <c r="C128">
        <v>0.26</v>
      </c>
      <c r="D128">
        <v>0.61</v>
      </c>
      <c r="E128">
        <f t="shared" si="7"/>
        <v>-0.35</v>
      </c>
      <c r="F128" t="e">
        <f>'well dims'!#REF!+E128</f>
        <v>#REF!</v>
      </c>
      <c r="G128">
        <v>14.8</v>
      </c>
      <c r="H128">
        <v>4.45</v>
      </c>
      <c r="J128" t="s">
        <v>8</v>
      </c>
    </row>
    <row r="129" spans="1:10" hidden="1" x14ac:dyDescent="0.75">
      <c r="A129" s="1">
        <v>45635</v>
      </c>
      <c r="B129" t="s">
        <v>23</v>
      </c>
      <c r="C129">
        <v>0</v>
      </c>
      <c r="D129">
        <v>0.65</v>
      </c>
      <c r="E129">
        <f t="shared" si="7"/>
        <v>-0.65</v>
      </c>
      <c r="F129" t="e">
        <f>'well dims'!#REF!+E129</f>
        <v>#REF!</v>
      </c>
      <c r="G129">
        <v>20</v>
      </c>
      <c r="H129">
        <v>4.0999999999999996</v>
      </c>
      <c r="J129" t="s">
        <v>8</v>
      </c>
    </row>
    <row r="130" spans="1:10" hidden="1" x14ac:dyDescent="0.75">
      <c r="A130" s="1">
        <v>45635</v>
      </c>
      <c r="B130" t="s">
        <v>24</v>
      </c>
      <c r="C130">
        <v>0.74</v>
      </c>
      <c r="D130">
        <v>1.46</v>
      </c>
      <c r="E130">
        <f t="shared" si="7"/>
        <v>-0.72</v>
      </c>
      <c r="F130" t="e">
        <f>'well dims'!#REF!+E130</f>
        <v>#REF!</v>
      </c>
      <c r="G130">
        <v>19.8</v>
      </c>
      <c r="H130">
        <v>3.71</v>
      </c>
      <c r="J130" t="s">
        <v>8</v>
      </c>
    </row>
    <row r="131" spans="1:10" hidden="1" x14ac:dyDescent="0.75">
      <c r="A131" s="1">
        <v>45635</v>
      </c>
      <c r="B131" t="s">
        <v>25</v>
      </c>
      <c r="C131">
        <v>0.33</v>
      </c>
      <c r="D131">
        <v>1.36</v>
      </c>
      <c r="E131">
        <f t="shared" si="7"/>
        <v>-1.03</v>
      </c>
      <c r="F131" t="e">
        <f>'well dims'!#REF!+log!E131</f>
        <v>#REF!</v>
      </c>
      <c r="G131">
        <v>18.5</v>
      </c>
      <c r="H131">
        <v>4.04</v>
      </c>
      <c r="J131" t="s">
        <v>8</v>
      </c>
    </row>
    <row r="132" spans="1:10" hidden="1" x14ac:dyDescent="0.75">
      <c r="A132" s="1">
        <v>45635</v>
      </c>
      <c r="B132" t="s">
        <v>29</v>
      </c>
      <c r="C132">
        <v>0.72499999999999998</v>
      </c>
      <c r="D132">
        <v>1.99</v>
      </c>
      <c r="E132">
        <f t="shared" si="7"/>
        <v>-1.2650000000000001</v>
      </c>
      <c r="G132">
        <v>19.2</v>
      </c>
      <c r="H132">
        <v>4.41</v>
      </c>
      <c r="J132" t="s">
        <v>8</v>
      </c>
    </row>
    <row r="133" spans="1:10" hidden="1" x14ac:dyDescent="0.75">
      <c r="A133" s="1">
        <v>45667</v>
      </c>
      <c r="B133" t="s">
        <v>2</v>
      </c>
      <c r="C133" s="4">
        <v>0.44</v>
      </c>
      <c r="D133">
        <v>1</v>
      </c>
      <c r="E133">
        <f>C133-D133</f>
        <v>-0.56000000000000005</v>
      </c>
      <c r="F133" t="e">
        <f>'well dims'!#REF!+E133</f>
        <v>#REF!</v>
      </c>
      <c r="J133" t="s">
        <v>30</v>
      </c>
    </row>
    <row r="134" spans="1:10" hidden="1" x14ac:dyDescent="0.75">
      <c r="A134" s="1">
        <v>45667</v>
      </c>
      <c r="B134" t="s">
        <v>11</v>
      </c>
      <c r="C134" s="4">
        <v>0.44</v>
      </c>
      <c r="D134">
        <v>0.78</v>
      </c>
      <c r="E134">
        <f t="shared" ref="E134:E138" si="8">C134-D134</f>
        <v>-0.34</v>
      </c>
      <c r="F134" t="e">
        <f>'well dims'!#REF!-E134</f>
        <v>#REF!</v>
      </c>
      <c r="G134">
        <v>15.2</v>
      </c>
      <c r="H134">
        <v>6.22</v>
      </c>
      <c r="J134" t="s">
        <v>8</v>
      </c>
    </row>
    <row r="135" spans="1:10" hidden="1" x14ac:dyDescent="0.75">
      <c r="A135" s="1">
        <v>45667</v>
      </c>
      <c r="B135" t="s">
        <v>12</v>
      </c>
      <c r="C135" s="4">
        <v>0.39</v>
      </c>
      <c r="D135">
        <v>1.04</v>
      </c>
      <c r="E135">
        <f t="shared" si="8"/>
        <v>-0.65</v>
      </c>
      <c r="G135">
        <v>17.5</v>
      </c>
      <c r="H135">
        <v>6.1</v>
      </c>
      <c r="J135" t="s">
        <v>8</v>
      </c>
    </row>
    <row r="136" spans="1:10" hidden="1" x14ac:dyDescent="0.75">
      <c r="A136" s="1">
        <v>45667</v>
      </c>
      <c r="B136" t="s">
        <v>13</v>
      </c>
      <c r="C136" s="4">
        <v>0.75</v>
      </c>
      <c r="D136">
        <v>1.08</v>
      </c>
      <c r="E136">
        <f t="shared" si="8"/>
        <v>-0.33000000000000007</v>
      </c>
      <c r="G136">
        <v>16.5</v>
      </c>
      <c r="H136">
        <v>5.16</v>
      </c>
      <c r="J136" t="s">
        <v>8</v>
      </c>
    </row>
    <row r="137" spans="1:10" hidden="1" x14ac:dyDescent="0.75">
      <c r="A137" s="1">
        <v>45667</v>
      </c>
      <c r="B137" t="s">
        <v>14</v>
      </c>
      <c r="C137" s="4">
        <v>0.21</v>
      </c>
      <c r="D137">
        <v>0.28999999999999998</v>
      </c>
      <c r="E137">
        <f t="shared" si="8"/>
        <v>-7.9999999999999988E-2</v>
      </c>
      <c r="F137" t="e">
        <f>'well dims'!#REF!+E137</f>
        <v>#REF!</v>
      </c>
      <c r="G137">
        <v>15.9</v>
      </c>
      <c r="H137">
        <v>4.3499999999999996</v>
      </c>
      <c r="J137" t="s">
        <v>8</v>
      </c>
    </row>
    <row r="138" spans="1:10" hidden="1" x14ac:dyDescent="0.75">
      <c r="A138" s="1">
        <v>45667</v>
      </c>
      <c r="B138" t="s">
        <v>15</v>
      </c>
      <c r="C138" s="4">
        <v>0.09</v>
      </c>
      <c r="D138">
        <v>0.82</v>
      </c>
      <c r="E138">
        <f t="shared" si="8"/>
        <v>-0.73</v>
      </c>
      <c r="G138">
        <v>16.600000000000001</v>
      </c>
      <c r="H138">
        <v>4.8899999999999997</v>
      </c>
      <c r="J138" t="s">
        <v>8</v>
      </c>
    </row>
    <row r="139" spans="1:10" hidden="1" x14ac:dyDescent="0.75">
      <c r="A139" s="1">
        <v>45667</v>
      </c>
      <c r="B139" t="s">
        <v>16</v>
      </c>
      <c r="C139" s="4">
        <v>0.04</v>
      </c>
      <c r="E139">
        <f>C140-D139</f>
        <v>0</v>
      </c>
      <c r="G139">
        <v>13.7</v>
      </c>
      <c r="H139">
        <v>5.8</v>
      </c>
      <c r="J139" t="s">
        <v>30</v>
      </c>
    </row>
    <row r="140" spans="1:10" hidden="1" x14ac:dyDescent="0.75">
      <c r="A140" s="1">
        <v>45667</v>
      </c>
      <c r="B140" t="s">
        <v>27</v>
      </c>
      <c r="C140" s="4"/>
      <c r="D140">
        <v>1.1100000000000001</v>
      </c>
      <c r="G140">
        <v>14.5</v>
      </c>
      <c r="H140">
        <v>5.82</v>
      </c>
      <c r="J140" t="s">
        <v>8</v>
      </c>
    </row>
    <row r="141" spans="1:10" hidden="1" x14ac:dyDescent="0.75">
      <c r="A141" s="1">
        <v>45667</v>
      </c>
      <c r="B141" t="s">
        <v>17</v>
      </c>
      <c r="C141" s="4">
        <v>0.83</v>
      </c>
      <c r="D141">
        <v>1.41</v>
      </c>
      <c r="E141">
        <f>C141-D141</f>
        <v>-0.57999999999999996</v>
      </c>
      <c r="G141">
        <v>17.8</v>
      </c>
      <c r="H141">
        <v>4.4000000000000004</v>
      </c>
      <c r="J141" t="s">
        <v>8</v>
      </c>
    </row>
    <row r="142" spans="1:10" hidden="1" x14ac:dyDescent="0.75">
      <c r="A142" s="1">
        <v>45667</v>
      </c>
      <c r="B142" t="s">
        <v>18</v>
      </c>
      <c r="C142">
        <v>0.16</v>
      </c>
      <c r="D142">
        <v>1.83</v>
      </c>
      <c r="E142">
        <f t="shared" ref="E142:E144" si="9">C142-D142</f>
        <v>-1.6700000000000002</v>
      </c>
      <c r="G142">
        <v>17.8</v>
      </c>
      <c r="H142">
        <v>4.45</v>
      </c>
      <c r="J142" t="s">
        <v>30</v>
      </c>
    </row>
    <row r="143" spans="1:10" hidden="1" x14ac:dyDescent="0.75">
      <c r="A143" s="1">
        <v>45667</v>
      </c>
      <c r="B143" t="s">
        <v>19</v>
      </c>
      <c r="C143">
        <v>0.89</v>
      </c>
      <c r="D143">
        <v>1.03</v>
      </c>
      <c r="E143">
        <f t="shared" si="9"/>
        <v>-0.14000000000000001</v>
      </c>
      <c r="F143" t="e">
        <f>'well dims'!#REF!+E143</f>
        <v>#REF!</v>
      </c>
      <c r="G143">
        <v>18.8</v>
      </c>
      <c r="H143">
        <v>5.21</v>
      </c>
      <c r="J143" t="s">
        <v>8</v>
      </c>
    </row>
    <row r="144" spans="1:10" hidden="1" x14ac:dyDescent="0.75">
      <c r="A144" s="1">
        <v>45667</v>
      </c>
      <c r="B144" t="s">
        <v>20</v>
      </c>
      <c r="C144">
        <v>0.04</v>
      </c>
      <c r="D144">
        <v>0.66</v>
      </c>
      <c r="E144">
        <f t="shared" si="9"/>
        <v>-0.62</v>
      </c>
      <c r="G144">
        <v>17.100000000000001</v>
      </c>
      <c r="H144">
        <v>4.2300000000000004</v>
      </c>
      <c r="J144" t="s">
        <v>8</v>
      </c>
    </row>
    <row r="145" spans="1:12" x14ac:dyDescent="0.75">
      <c r="A145" s="1">
        <v>45667</v>
      </c>
      <c r="B145" t="s">
        <v>21</v>
      </c>
      <c r="C145">
        <v>0.25</v>
      </c>
      <c r="E145">
        <v>-4.3</v>
      </c>
      <c r="J145" t="s">
        <v>55</v>
      </c>
    </row>
    <row r="146" spans="1:12" hidden="1" x14ac:dyDescent="0.75">
      <c r="A146" s="1">
        <v>45667</v>
      </c>
      <c r="B146" t="s">
        <v>22</v>
      </c>
      <c r="C146">
        <v>0.12</v>
      </c>
      <c r="D146">
        <v>0.61499999999999999</v>
      </c>
      <c r="E146">
        <f>C146-D146</f>
        <v>-0.495</v>
      </c>
      <c r="F146" t="e">
        <f>'well dims'!#REF!+E146</f>
        <v>#REF!</v>
      </c>
      <c r="G146">
        <v>13</v>
      </c>
      <c r="H146">
        <v>4.37</v>
      </c>
      <c r="J146" t="s">
        <v>8</v>
      </c>
    </row>
    <row r="147" spans="1:12" hidden="1" x14ac:dyDescent="0.75">
      <c r="A147" s="1">
        <v>45667</v>
      </c>
      <c r="B147" t="s">
        <v>23</v>
      </c>
      <c r="C147">
        <v>0</v>
      </c>
      <c r="D147">
        <v>0.5</v>
      </c>
      <c r="E147">
        <f t="shared" ref="E147:E150" si="10">C147-D147</f>
        <v>-0.5</v>
      </c>
      <c r="F147" t="e">
        <f>'well dims'!#REF!+E147</f>
        <v>#REF!</v>
      </c>
      <c r="G147">
        <v>17.899999999999999</v>
      </c>
      <c r="H147">
        <v>4.1100000000000003</v>
      </c>
      <c r="J147" t="s">
        <v>30</v>
      </c>
    </row>
    <row r="148" spans="1:12" hidden="1" x14ac:dyDescent="0.75">
      <c r="A148" s="1">
        <v>45667</v>
      </c>
      <c r="B148" t="s">
        <v>24</v>
      </c>
      <c r="C148">
        <v>0</v>
      </c>
      <c r="D148">
        <v>0.84</v>
      </c>
      <c r="E148">
        <f t="shared" si="10"/>
        <v>-0.84</v>
      </c>
      <c r="F148" t="e">
        <f>'well dims'!#REF!+E148</f>
        <v>#REF!</v>
      </c>
      <c r="G148">
        <v>18</v>
      </c>
      <c r="H148">
        <v>3.81</v>
      </c>
      <c r="J148" t="s">
        <v>8</v>
      </c>
    </row>
    <row r="149" spans="1:12" hidden="1" x14ac:dyDescent="0.75">
      <c r="A149" s="1">
        <v>45667</v>
      </c>
      <c r="B149" t="s">
        <v>25</v>
      </c>
      <c r="C149">
        <v>1.1000000000000001</v>
      </c>
      <c r="D149">
        <v>1.4</v>
      </c>
      <c r="E149">
        <f>C149-D149</f>
        <v>-0.29999999999999982</v>
      </c>
      <c r="F149" t="e">
        <f>'well dims'!#REF!+log!E149</f>
        <v>#REF!</v>
      </c>
      <c r="G149">
        <v>16.600000000000001</v>
      </c>
      <c r="H149">
        <v>4.08</v>
      </c>
      <c r="J149" t="s">
        <v>8</v>
      </c>
      <c r="L149" t="s">
        <v>32</v>
      </c>
    </row>
    <row r="150" spans="1:12" hidden="1" x14ac:dyDescent="0.75">
      <c r="A150" s="1">
        <v>45667</v>
      </c>
      <c r="B150" t="s">
        <v>29</v>
      </c>
      <c r="C150">
        <v>0.33</v>
      </c>
      <c r="D150">
        <v>1.47</v>
      </c>
      <c r="E150">
        <f t="shared" si="10"/>
        <v>-1.1399999999999999</v>
      </c>
      <c r="G150">
        <v>17.600000000000001</v>
      </c>
      <c r="H150">
        <v>4.4800000000000004</v>
      </c>
      <c r="J150" t="s">
        <v>8</v>
      </c>
    </row>
    <row r="151" spans="1:12" hidden="1" x14ac:dyDescent="0.75">
      <c r="A151" s="1">
        <v>45502</v>
      </c>
      <c r="B151" t="s">
        <v>2</v>
      </c>
      <c r="C151">
        <v>0.44</v>
      </c>
      <c r="E151">
        <f>C151-D151</f>
        <v>0.44</v>
      </c>
      <c r="F151" t="e">
        <f>'well dims'!#REF!+E151</f>
        <v>#REF!</v>
      </c>
      <c r="G151">
        <v>25.8</v>
      </c>
      <c r="H151">
        <v>5.36</v>
      </c>
      <c r="J151" t="s">
        <v>8</v>
      </c>
    </row>
    <row r="152" spans="1:12" hidden="1" x14ac:dyDescent="0.75">
      <c r="A152" s="1">
        <v>45502</v>
      </c>
      <c r="B152" t="s">
        <v>11</v>
      </c>
      <c r="C152">
        <v>0.41499999999999998</v>
      </c>
      <c r="E152">
        <v>0.23499999999999999</v>
      </c>
      <c r="F152" t="e">
        <f>'well dims'!#REF!-E152</f>
        <v>#REF!</v>
      </c>
      <c r="G152">
        <v>26</v>
      </c>
      <c r="H152">
        <v>5</v>
      </c>
      <c r="J152" t="s">
        <v>8</v>
      </c>
    </row>
    <row r="153" spans="1:12" hidden="1" x14ac:dyDescent="0.75">
      <c r="A153" s="1">
        <v>45502</v>
      </c>
      <c r="B153" t="s">
        <v>12</v>
      </c>
      <c r="C153">
        <v>0.755</v>
      </c>
      <c r="E153">
        <v>0.19</v>
      </c>
      <c r="G153">
        <v>24</v>
      </c>
      <c r="H153">
        <v>4.5999999999999996</v>
      </c>
      <c r="J153" t="s">
        <v>8</v>
      </c>
    </row>
    <row r="154" spans="1:12" hidden="1" x14ac:dyDescent="0.75">
      <c r="A154" s="1">
        <v>45502</v>
      </c>
      <c r="B154" t="s">
        <v>13</v>
      </c>
      <c r="C154">
        <v>0.24</v>
      </c>
      <c r="D154">
        <v>0.64</v>
      </c>
      <c r="E154">
        <f>C154-D154</f>
        <v>-0.4</v>
      </c>
      <c r="G154">
        <v>26</v>
      </c>
      <c r="H154">
        <v>4.84</v>
      </c>
      <c r="J154" t="s">
        <v>8</v>
      </c>
    </row>
    <row r="155" spans="1:12" hidden="1" x14ac:dyDescent="0.75">
      <c r="A155" s="1">
        <v>45502</v>
      </c>
      <c r="B155" t="s">
        <v>14</v>
      </c>
      <c r="C155">
        <v>0.09</v>
      </c>
      <c r="E155">
        <v>0.36</v>
      </c>
      <c r="F155" t="e">
        <f>'well dims'!#REF!+E155</f>
        <v>#REF!</v>
      </c>
      <c r="G155">
        <v>25.72</v>
      </c>
      <c r="H155">
        <v>4.58</v>
      </c>
      <c r="J155" t="s">
        <v>8</v>
      </c>
    </row>
    <row r="156" spans="1:12" hidden="1" x14ac:dyDescent="0.75">
      <c r="A156" s="1">
        <v>45502</v>
      </c>
      <c r="B156" t="s">
        <v>15</v>
      </c>
      <c r="C156">
        <v>8.5000000000000006E-2</v>
      </c>
      <c r="D156">
        <v>0.17299999999999999</v>
      </c>
      <c r="E156">
        <f>C156-D156</f>
        <v>-8.7999999999999981E-2</v>
      </c>
      <c r="G156">
        <v>24</v>
      </c>
      <c r="H156">
        <v>5</v>
      </c>
      <c r="J156" t="s">
        <v>8</v>
      </c>
    </row>
    <row r="157" spans="1:12" hidden="1" x14ac:dyDescent="0.75">
      <c r="A157" s="1">
        <v>45502</v>
      </c>
      <c r="B157" t="s">
        <v>17</v>
      </c>
      <c r="C157">
        <v>0.16</v>
      </c>
      <c r="D157">
        <v>0.49</v>
      </c>
      <c r="E157">
        <f>C157-D157</f>
        <v>-0.32999999999999996</v>
      </c>
      <c r="G157">
        <v>34.33</v>
      </c>
      <c r="H157">
        <v>4.5</v>
      </c>
      <c r="J157" t="s">
        <v>8</v>
      </c>
    </row>
    <row r="158" spans="1:12" hidden="1" x14ac:dyDescent="0.75">
      <c r="A158" s="1">
        <v>45502</v>
      </c>
      <c r="B158" t="s">
        <v>18</v>
      </c>
      <c r="C158">
        <v>0.89</v>
      </c>
      <c r="D158">
        <v>0.09</v>
      </c>
      <c r="E158">
        <f t="shared" ref="E158:E160" si="11">C158-D158</f>
        <v>0.8</v>
      </c>
      <c r="G158">
        <v>32.46</v>
      </c>
      <c r="H158">
        <v>4.97</v>
      </c>
      <c r="J158" t="s">
        <v>8</v>
      </c>
    </row>
    <row r="159" spans="1:12" hidden="1" x14ac:dyDescent="0.75">
      <c r="A159" s="1">
        <v>45502</v>
      </c>
      <c r="B159" t="s">
        <v>19</v>
      </c>
      <c r="C159">
        <v>0.04</v>
      </c>
      <c r="D159">
        <v>0.06</v>
      </c>
      <c r="E159">
        <f t="shared" si="11"/>
        <v>-1.9999999999999997E-2</v>
      </c>
      <c r="F159" t="e">
        <f>'well dims'!#REF!+E159</f>
        <v>#REF!</v>
      </c>
      <c r="G159">
        <v>29.26</v>
      </c>
      <c r="H159">
        <v>4.8</v>
      </c>
      <c r="J159" t="s">
        <v>8</v>
      </c>
    </row>
    <row r="160" spans="1:12" hidden="1" x14ac:dyDescent="0.75">
      <c r="A160" s="1">
        <v>45502</v>
      </c>
      <c r="B160" t="s">
        <v>20</v>
      </c>
      <c r="C160">
        <v>0.25</v>
      </c>
      <c r="D160">
        <v>1.41</v>
      </c>
      <c r="E160">
        <f t="shared" si="11"/>
        <v>-1.1599999999999999</v>
      </c>
      <c r="G160">
        <v>28</v>
      </c>
      <c r="H160">
        <v>3.48</v>
      </c>
      <c r="J160" t="s">
        <v>8</v>
      </c>
    </row>
    <row r="161" spans="1:10" x14ac:dyDescent="0.75">
      <c r="A161" s="1">
        <v>45502</v>
      </c>
      <c r="B161" t="s">
        <v>21</v>
      </c>
      <c r="E161">
        <v>-4.3</v>
      </c>
      <c r="J161" t="s">
        <v>55</v>
      </c>
    </row>
    <row r="162" spans="1:10" hidden="1" x14ac:dyDescent="0.75">
      <c r="A162" s="1">
        <v>45502</v>
      </c>
      <c r="B162" t="s">
        <v>22</v>
      </c>
      <c r="C162">
        <v>0.26</v>
      </c>
      <c r="D162">
        <v>0.54</v>
      </c>
      <c r="E162">
        <f>C162-D162</f>
        <v>-0.28000000000000003</v>
      </c>
      <c r="F162" t="e">
        <f>'well dims'!#REF!+E162</f>
        <v>#REF!</v>
      </c>
      <c r="G162">
        <v>28</v>
      </c>
      <c r="H162">
        <v>3.92</v>
      </c>
      <c r="J162" t="s">
        <v>8</v>
      </c>
    </row>
    <row r="163" spans="1:10" hidden="1" x14ac:dyDescent="0.75">
      <c r="A163" s="1">
        <v>45502</v>
      </c>
      <c r="B163" t="s">
        <v>23</v>
      </c>
      <c r="C163">
        <v>0</v>
      </c>
      <c r="D163">
        <v>0.59</v>
      </c>
      <c r="E163">
        <f t="shared" ref="E163:E165" si="12">C163-D163</f>
        <v>-0.59</v>
      </c>
      <c r="F163" t="e">
        <f>'well dims'!#REF!+E163</f>
        <v>#REF!</v>
      </c>
      <c r="G163">
        <v>28</v>
      </c>
      <c r="H163">
        <v>3.75</v>
      </c>
      <c r="J163" t="s">
        <v>8</v>
      </c>
    </row>
    <row r="164" spans="1:10" hidden="1" x14ac:dyDescent="0.75">
      <c r="A164" s="1">
        <v>45502</v>
      </c>
      <c r="B164" t="s">
        <v>24</v>
      </c>
      <c r="C164">
        <v>0</v>
      </c>
      <c r="D164">
        <v>0.77</v>
      </c>
      <c r="E164">
        <f t="shared" si="12"/>
        <v>-0.77</v>
      </c>
      <c r="F164" t="e">
        <f>'well dims'!#REF!+E164</f>
        <v>#REF!</v>
      </c>
      <c r="G164">
        <v>28</v>
      </c>
      <c r="H164">
        <v>3.8</v>
      </c>
      <c r="J164" t="s">
        <v>8</v>
      </c>
    </row>
    <row r="165" spans="1:10" hidden="1" x14ac:dyDescent="0.75">
      <c r="A165" s="1">
        <v>45502</v>
      </c>
      <c r="B165" t="s">
        <v>25</v>
      </c>
      <c r="C165">
        <v>0.33</v>
      </c>
      <c r="D165">
        <v>1.38</v>
      </c>
      <c r="E165">
        <f t="shared" si="12"/>
        <v>-1.0499999999999998</v>
      </c>
      <c r="F165" t="e">
        <f>'well dims'!#REF!+log!E165</f>
        <v>#REF!</v>
      </c>
      <c r="J165" t="s">
        <v>30</v>
      </c>
    </row>
    <row r="166" spans="1:10" hidden="1" x14ac:dyDescent="0.75">
      <c r="A166" s="1">
        <v>45534</v>
      </c>
      <c r="B166" t="s">
        <v>2</v>
      </c>
      <c r="C166">
        <v>0</v>
      </c>
      <c r="E166">
        <v>5.6000000000000001E-2</v>
      </c>
      <c r="F166" t="e">
        <f>'well dims'!#REF!+E166</f>
        <v>#REF!</v>
      </c>
      <c r="G166">
        <v>26.04</v>
      </c>
      <c r="H166">
        <v>5.41</v>
      </c>
      <c r="J166" t="s">
        <v>8</v>
      </c>
    </row>
    <row r="167" spans="1:10" hidden="1" x14ac:dyDescent="0.75">
      <c r="A167" s="1">
        <v>45534</v>
      </c>
      <c r="B167" t="s">
        <v>11</v>
      </c>
      <c r="C167">
        <v>0.34499999999999997</v>
      </c>
      <c r="E167">
        <v>0.25</v>
      </c>
      <c r="F167" t="e">
        <f>'well dims'!#REF!-E167</f>
        <v>#REF!</v>
      </c>
      <c r="G167">
        <v>26.2</v>
      </c>
      <c r="H167">
        <v>5.34</v>
      </c>
      <c r="J167" t="s">
        <v>8</v>
      </c>
    </row>
    <row r="168" spans="1:10" hidden="1" x14ac:dyDescent="0.75">
      <c r="A168" s="1">
        <v>45534</v>
      </c>
      <c r="B168" t="s">
        <v>12</v>
      </c>
      <c r="C168">
        <v>0.755</v>
      </c>
      <c r="D168">
        <v>0.83</v>
      </c>
      <c r="E168">
        <f>C168-D168</f>
        <v>-7.4999999999999956E-2</v>
      </c>
      <c r="G168">
        <v>25.9</v>
      </c>
      <c r="H168">
        <v>5.37</v>
      </c>
      <c r="J168" t="s">
        <v>8</v>
      </c>
    </row>
    <row r="169" spans="1:10" hidden="1" x14ac:dyDescent="0.75">
      <c r="A169" s="1">
        <v>45534</v>
      </c>
      <c r="B169" t="s">
        <v>13</v>
      </c>
      <c r="C169">
        <v>0.95</v>
      </c>
      <c r="D169">
        <v>1.68</v>
      </c>
      <c r="E169">
        <f>C169-D169</f>
        <v>-0.73</v>
      </c>
      <c r="G169">
        <v>25.7</v>
      </c>
      <c r="H169">
        <v>5.16</v>
      </c>
      <c r="J169" t="s">
        <v>8</v>
      </c>
    </row>
    <row r="170" spans="1:10" hidden="1" x14ac:dyDescent="0.75">
      <c r="A170" s="1">
        <v>45534</v>
      </c>
      <c r="B170" t="s">
        <v>14</v>
      </c>
      <c r="C170">
        <v>0.8</v>
      </c>
      <c r="D170">
        <v>0.76</v>
      </c>
      <c r="E170">
        <f>C170-D170</f>
        <v>4.0000000000000036E-2</v>
      </c>
      <c r="F170" t="e">
        <f>'well dims'!#REF!+E170</f>
        <v>#REF!</v>
      </c>
      <c r="G170">
        <v>26.43</v>
      </c>
      <c r="H170">
        <v>4.45</v>
      </c>
      <c r="J170" t="s">
        <v>8</v>
      </c>
    </row>
    <row r="171" spans="1:10" hidden="1" x14ac:dyDescent="0.75">
      <c r="A171" s="1">
        <v>45534</v>
      </c>
      <c r="B171" t="s">
        <v>15</v>
      </c>
      <c r="C171">
        <v>1.68</v>
      </c>
      <c r="G171">
        <v>26.8</v>
      </c>
      <c r="H171">
        <v>4.1900000000000004</v>
      </c>
      <c r="J171" t="s">
        <v>8</v>
      </c>
    </row>
    <row r="172" spans="1:10" hidden="1" x14ac:dyDescent="0.75">
      <c r="A172" s="1">
        <v>45534</v>
      </c>
      <c r="B172" t="s">
        <v>16</v>
      </c>
      <c r="C172">
        <v>0.82</v>
      </c>
      <c r="D172">
        <v>0.74</v>
      </c>
      <c r="J172" t="s">
        <v>8</v>
      </c>
    </row>
    <row r="173" spans="1:10" hidden="1" x14ac:dyDescent="0.75">
      <c r="A173" s="1">
        <v>45534</v>
      </c>
      <c r="B173" t="s">
        <v>17</v>
      </c>
      <c r="E173">
        <v>0.19</v>
      </c>
      <c r="G173">
        <v>27.11</v>
      </c>
      <c r="H173">
        <v>4.22</v>
      </c>
      <c r="J173" t="s">
        <v>8</v>
      </c>
    </row>
    <row r="174" spans="1:10" hidden="1" x14ac:dyDescent="0.75">
      <c r="A174" s="1">
        <v>45534</v>
      </c>
      <c r="B174" t="s">
        <v>18</v>
      </c>
      <c r="C174">
        <v>1.17</v>
      </c>
      <c r="E174">
        <v>0.06</v>
      </c>
      <c r="G174">
        <v>26.01</v>
      </c>
      <c r="H174">
        <v>4.37</v>
      </c>
      <c r="J174" t="s">
        <v>8</v>
      </c>
    </row>
    <row r="175" spans="1:10" hidden="1" x14ac:dyDescent="0.75">
      <c r="A175" s="1">
        <v>45534</v>
      </c>
      <c r="B175" t="s">
        <v>19</v>
      </c>
      <c r="D175">
        <v>0.51</v>
      </c>
      <c r="E175">
        <v>-0.51</v>
      </c>
      <c r="F175" t="e">
        <f>'well dims'!#REF!+E175</f>
        <v>#REF!</v>
      </c>
      <c r="G175">
        <v>26.23</v>
      </c>
      <c r="H175">
        <v>4.71</v>
      </c>
      <c r="J175" t="s">
        <v>8</v>
      </c>
    </row>
    <row r="176" spans="1:10" hidden="1" x14ac:dyDescent="0.75">
      <c r="A176" s="1">
        <v>45534</v>
      </c>
      <c r="B176" t="s">
        <v>20</v>
      </c>
      <c r="D176">
        <v>0.04</v>
      </c>
      <c r="E176">
        <v>-0.04</v>
      </c>
      <c r="G176">
        <v>26.62</v>
      </c>
      <c r="H176">
        <v>4.41</v>
      </c>
      <c r="J176" t="s">
        <v>8</v>
      </c>
    </row>
    <row r="177" spans="1:10" x14ac:dyDescent="0.75">
      <c r="A177" s="1">
        <v>45534</v>
      </c>
      <c r="B177" t="s">
        <v>21</v>
      </c>
      <c r="D177">
        <v>0.99</v>
      </c>
      <c r="E177">
        <f>0.99-1.97</f>
        <v>-0.98</v>
      </c>
      <c r="G177">
        <v>29</v>
      </c>
      <c r="H177">
        <v>4.34</v>
      </c>
      <c r="J177" t="s">
        <v>30</v>
      </c>
    </row>
    <row r="178" spans="1:10" hidden="1" x14ac:dyDescent="0.75">
      <c r="A178" s="1">
        <v>45534</v>
      </c>
      <c r="B178" t="s">
        <v>22</v>
      </c>
      <c r="E178">
        <f>0.24-0.4</f>
        <v>-0.16000000000000003</v>
      </c>
      <c r="F178" t="e">
        <f>'well dims'!#REF!+E178</f>
        <v>#REF!</v>
      </c>
      <c r="G178">
        <v>29.07</v>
      </c>
      <c r="H178">
        <v>3.83</v>
      </c>
      <c r="J178" t="s">
        <v>8</v>
      </c>
    </row>
    <row r="179" spans="1:10" hidden="1" x14ac:dyDescent="0.75">
      <c r="A179" s="1">
        <v>45534</v>
      </c>
      <c r="B179" t="s">
        <v>23</v>
      </c>
      <c r="E179">
        <v>-0.4</v>
      </c>
      <c r="F179" t="e">
        <f>'well dims'!#REF!+E179</f>
        <v>#REF!</v>
      </c>
      <c r="G179">
        <v>28.69</v>
      </c>
      <c r="H179">
        <v>3.97</v>
      </c>
      <c r="J179" t="s">
        <v>8</v>
      </c>
    </row>
    <row r="180" spans="1:10" hidden="1" x14ac:dyDescent="0.75">
      <c r="A180" s="1">
        <v>45534</v>
      </c>
      <c r="B180" t="s">
        <v>24</v>
      </c>
      <c r="E180">
        <v>-0.39</v>
      </c>
      <c r="F180" t="e">
        <f>'well dims'!#REF!+E180</f>
        <v>#REF!</v>
      </c>
      <c r="G180">
        <v>30</v>
      </c>
      <c r="H180">
        <v>3.85</v>
      </c>
      <c r="J180" t="s">
        <v>30</v>
      </c>
    </row>
    <row r="181" spans="1:10" hidden="1" x14ac:dyDescent="0.75">
      <c r="A181" s="1">
        <v>45534</v>
      </c>
      <c r="B181" t="s">
        <v>25</v>
      </c>
      <c r="E181">
        <f>0.31-0.86</f>
        <v>-0.55000000000000004</v>
      </c>
      <c r="F181" t="e">
        <f>'well dims'!#REF!+log!E181</f>
        <v>#REF!</v>
      </c>
      <c r="J181" t="s">
        <v>30</v>
      </c>
    </row>
    <row r="182" spans="1:10" hidden="1" x14ac:dyDescent="0.75">
      <c r="A182" s="1">
        <v>45442</v>
      </c>
      <c r="B182" t="s">
        <v>2</v>
      </c>
      <c r="C182">
        <v>0.44</v>
      </c>
      <c r="D182">
        <v>1.03</v>
      </c>
      <c r="E182">
        <f>C182-D182</f>
        <v>-0.59000000000000008</v>
      </c>
      <c r="F182" t="e">
        <f>'well dims'!#REF!+E182</f>
        <v>#REF!</v>
      </c>
      <c r="J182" t="s">
        <v>30</v>
      </c>
    </row>
    <row r="183" spans="1:10" hidden="1" x14ac:dyDescent="0.75">
      <c r="A183" s="1">
        <v>45442</v>
      </c>
      <c r="B183" t="s">
        <v>11</v>
      </c>
      <c r="C183">
        <v>0.41499999999999998</v>
      </c>
      <c r="D183">
        <v>0.77</v>
      </c>
      <c r="E183">
        <f t="shared" ref="E183:E196" si="13">C183-D183</f>
        <v>-0.35500000000000004</v>
      </c>
      <c r="F183" t="e">
        <f>'well dims'!#REF!-E183</f>
        <v>#REF!</v>
      </c>
      <c r="H183">
        <v>6.4</v>
      </c>
      <c r="J183" t="s">
        <v>8</v>
      </c>
    </row>
    <row r="184" spans="1:10" hidden="1" x14ac:dyDescent="0.75">
      <c r="A184" s="1">
        <v>45442</v>
      </c>
      <c r="B184" t="s">
        <v>12</v>
      </c>
      <c r="C184">
        <v>0.755</v>
      </c>
      <c r="D184">
        <v>0.53</v>
      </c>
      <c r="E184">
        <f t="shared" si="13"/>
        <v>0.22499999999999998</v>
      </c>
      <c r="H184">
        <v>6.8</v>
      </c>
      <c r="J184" t="s">
        <v>8</v>
      </c>
    </row>
    <row r="185" spans="1:10" hidden="1" x14ac:dyDescent="0.75">
      <c r="A185" s="1">
        <v>45442</v>
      </c>
      <c r="B185" t="s">
        <v>13</v>
      </c>
      <c r="C185">
        <v>0.24</v>
      </c>
      <c r="D185">
        <v>1.1000000000000001</v>
      </c>
      <c r="E185">
        <f t="shared" si="13"/>
        <v>-0.8600000000000001</v>
      </c>
      <c r="H185">
        <v>6.35</v>
      </c>
      <c r="J185" t="s">
        <v>8</v>
      </c>
    </row>
    <row r="186" spans="1:10" hidden="1" x14ac:dyDescent="0.75">
      <c r="A186" s="1">
        <v>45442</v>
      </c>
      <c r="B186" t="s">
        <v>14</v>
      </c>
      <c r="C186">
        <v>0.09</v>
      </c>
      <c r="D186">
        <v>0.47</v>
      </c>
      <c r="E186">
        <f t="shared" si="13"/>
        <v>-0.38</v>
      </c>
      <c r="F186" t="e">
        <f>'well dims'!#REF!+E186</f>
        <v>#REF!</v>
      </c>
      <c r="H186">
        <v>6.13</v>
      </c>
      <c r="J186" t="s">
        <v>8</v>
      </c>
    </row>
    <row r="187" spans="1:10" ht="15.75" hidden="1" customHeight="1" x14ac:dyDescent="0.75">
      <c r="A187" s="1">
        <v>45442</v>
      </c>
      <c r="B187" t="s">
        <v>15</v>
      </c>
      <c r="C187">
        <v>8.5000000000000006E-2</v>
      </c>
      <c r="D187">
        <v>1.01</v>
      </c>
      <c r="E187">
        <f t="shared" si="13"/>
        <v>-0.92500000000000004</v>
      </c>
      <c r="H187">
        <v>5.66</v>
      </c>
      <c r="J187" t="s">
        <v>8</v>
      </c>
    </row>
    <row r="188" spans="1:10" hidden="1" x14ac:dyDescent="0.75">
      <c r="A188" s="1">
        <v>45442</v>
      </c>
      <c r="B188" t="s">
        <v>17</v>
      </c>
      <c r="C188" s="3"/>
      <c r="E188">
        <v>-2.25</v>
      </c>
      <c r="J188" t="s">
        <v>55</v>
      </c>
    </row>
    <row r="189" spans="1:10" hidden="1" x14ac:dyDescent="0.75">
      <c r="A189" s="1">
        <v>45442</v>
      </c>
      <c r="B189" t="s">
        <v>18</v>
      </c>
      <c r="C189" s="3"/>
      <c r="J189" t="s">
        <v>8</v>
      </c>
    </row>
    <row r="190" spans="1:10" hidden="1" x14ac:dyDescent="0.75">
      <c r="A190" s="1">
        <v>45442</v>
      </c>
      <c r="B190" t="s">
        <v>19</v>
      </c>
      <c r="C190" s="3">
        <v>0.17499999999999999</v>
      </c>
      <c r="D190">
        <v>1.33</v>
      </c>
      <c r="E190">
        <f t="shared" si="13"/>
        <v>-1.155</v>
      </c>
      <c r="F190" t="e">
        <f>'well dims'!#REF!+E190</f>
        <v>#REF!</v>
      </c>
      <c r="J190" t="s">
        <v>8</v>
      </c>
    </row>
    <row r="191" spans="1:10" hidden="1" x14ac:dyDescent="0.75">
      <c r="A191" s="1">
        <v>45442</v>
      </c>
      <c r="B191" t="s">
        <v>20</v>
      </c>
      <c r="C191" s="3"/>
      <c r="J191" t="s">
        <v>30</v>
      </c>
    </row>
    <row r="192" spans="1:10" x14ac:dyDescent="0.75">
      <c r="A192" s="1">
        <v>45442</v>
      </c>
      <c r="B192" t="s">
        <v>21</v>
      </c>
      <c r="C192" s="3"/>
      <c r="E192">
        <v>-4.3</v>
      </c>
      <c r="J192" t="s">
        <v>55</v>
      </c>
    </row>
    <row r="193" spans="1:10" hidden="1" x14ac:dyDescent="0.75">
      <c r="A193" s="1">
        <v>45442</v>
      </c>
      <c r="B193" t="s">
        <v>22</v>
      </c>
      <c r="C193">
        <v>0.26</v>
      </c>
      <c r="D193">
        <v>1.01</v>
      </c>
      <c r="E193">
        <f t="shared" si="13"/>
        <v>-0.75</v>
      </c>
      <c r="F193" t="e">
        <f>'well dims'!#REF!+E193</f>
        <v>#REF!</v>
      </c>
      <c r="H193">
        <v>4.6500000000000004</v>
      </c>
      <c r="J193" t="s">
        <v>8</v>
      </c>
    </row>
    <row r="194" spans="1:10" hidden="1" x14ac:dyDescent="0.75">
      <c r="A194" s="1">
        <v>45442</v>
      </c>
      <c r="B194" t="s">
        <v>23</v>
      </c>
      <c r="C194">
        <v>0</v>
      </c>
      <c r="D194">
        <v>1.24</v>
      </c>
      <c r="E194">
        <f t="shared" si="13"/>
        <v>-1.24</v>
      </c>
      <c r="F194" t="e">
        <f>'well dims'!#REF!+E194</f>
        <v>#REF!</v>
      </c>
      <c r="J194" t="s">
        <v>30</v>
      </c>
    </row>
    <row r="195" spans="1:10" hidden="1" x14ac:dyDescent="0.75">
      <c r="A195" s="1">
        <v>45442</v>
      </c>
      <c r="B195" t="s">
        <v>24</v>
      </c>
      <c r="C195">
        <v>0</v>
      </c>
      <c r="D195">
        <v>0.88</v>
      </c>
      <c r="E195">
        <f t="shared" si="13"/>
        <v>-0.88</v>
      </c>
      <c r="F195" t="e">
        <f>'well dims'!#REF!+E195</f>
        <v>#REF!</v>
      </c>
      <c r="H195">
        <v>4.03</v>
      </c>
      <c r="J195" t="s">
        <v>8</v>
      </c>
    </row>
    <row r="196" spans="1:10" hidden="1" x14ac:dyDescent="0.75">
      <c r="A196" s="1">
        <v>45442</v>
      </c>
      <c r="B196" t="s">
        <v>25</v>
      </c>
      <c r="C196">
        <v>0.33</v>
      </c>
      <c r="D196">
        <v>1.5</v>
      </c>
      <c r="E196">
        <f t="shared" si="13"/>
        <v>-1.17</v>
      </c>
      <c r="F196" t="e">
        <f>'well dims'!#REF!+log!E196</f>
        <v>#REF!</v>
      </c>
      <c r="H196">
        <v>3.66</v>
      </c>
      <c r="J196" t="s">
        <v>8</v>
      </c>
    </row>
    <row r="197" spans="1:10" hidden="1" x14ac:dyDescent="0.75">
      <c r="A197" s="1">
        <v>45940</v>
      </c>
      <c r="B197" t="s">
        <v>2</v>
      </c>
      <c r="C197">
        <v>0.44</v>
      </c>
      <c r="D197">
        <v>1.35</v>
      </c>
      <c r="E197">
        <f>C197-D197</f>
        <v>-0.91000000000000014</v>
      </c>
      <c r="F197" t="e">
        <f>'well dims'!#REF!+E197</f>
        <v>#REF!</v>
      </c>
      <c r="G197">
        <v>22.1</v>
      </c>
      <c r="H197">
        <v>7.17</v>
      </c>
      <c r="J197" t="s">
        <v>30</v>
      </c>
    </row>
    <row r="198" spans="1:10" hidden="1" x14ac:dyDescent="0.75">
      <c r="A198" s="1">
        <v>45940</v>
      </c>
      <c r="B198" t="s">
        <v>11</v>
      </c>
      <c r="C198">
        <v>0.41499999999999998</v>
      </c>
      <c r="D198">
        <v>0.71</v>
      </c>
      <c r="E198">
        <f t="shared" ref="E198:E219" si="14">C198-D198</f>
        <v>-0.29499999999999998</v>
      </c>
      <c r="F198" t="e">
        <f>'well dims'!#REF!-E198</f>
        <v>#REF!</v>
      </c>
      <c r="G198">
        <v>23.3</v>
      </c>
      <c r="H198">
        <v>5.69</v>
      </c>
      <c r="I198">
        <v>1.25</v>
      </c>
      <c r="J198" t="s">
        <v>8</v>
      </c>
    </row>
    <row r="199" spans="1:10" hidden="1" x14ac:dyDescent="0.75">
      <c r="A199" s="1">
        <v>45940</v>
      </c>
      <c r="B199" t="s">
        <v>12</v>
      </c>
      <c r="C199">
        <v>0.755</v>
      </c>
      <c r="D199">
        <v>1.06</v>
      </c>
      <c r="E199">
        <f t="shared" si="14"/>
        <v>-0.30500000000000005</v>
      </c>
      <c r="G199">
        <v>23.3</v>
      </c>
      <c r="H199">
        <v>6.43</v>
      </c>
      <c r="J199" t="s">
        <v>8</v>
      </c>
    </row>
    <row r="200" spans="1:10" hidden="1" x14ac:dyDescent="0.75">
      <c r="A200" s="1">
        <v>45940</v>
      </c>
      <c r="B200" t="s">
        <v>13</v>
      </c>
      <c r="C200">
        <v>0.24</v>
      </c>
      <c r="D200">
        <v>1.07</v>
      </c>
      <c r="E200">
        <f t="shared" si="14"/>
        <v>-0.83000000000000007</v>
      </c>
      <c r="G200">
        <v>23.2</v>
      </c>
      <c r="H200">
        <v>4.97</v>
      </c>
      <c r="I200">
        <v>1.65</v>
      </c>
      <c r="J200" t="s">
        <v>8</v>
      </c>
    </row>
    <row r="201" spans="1:10" hidden="1" x14ac:dyDescent="0.75">
      <c r="A201" s="1">
        <v>45940</v>
      </c>
      <c r="B201" t="s">
        <v>14</v>
      </c>
      <c r="C201">
        <v>0.09</v>
      </c>
      <c r="D201">
        <v>0.3</v>
      </c>
      <c r="E201">
        <f t="shared" si="14"/>
        <v>-0.21</v>
      </c>
      <c r="F201" t="e">
        <f>'well dims'!#REF!+E201</f>
        <v>#REF!</v>
      </c>
      <c r="G201">
        <v>23.3</v>
      </c>
      <c r="H201">
        <v>4.03</v>
      </c>
      <c r="I201">
        <v>1.47</v>
      </c>
      <c r="J201" t="s">
        <v>8</v>
      </c>
    </row>
    <row r="202" spans="1:10" hidden="1" x14ac:dyDescent="0.75">
      <c r="A202" s="1">
        <v>45940</v>
      </c>
      <c r="B202" t="s">
        <v>15</v>
      </c>
      <c r="C202">
        <v>8.5000000000000006E-2</v>
      </c>
      <c r="D202">
        <v>0.72</v>
      </c>
      <c r="E202">
        <f t="shared" si="14"/>
        <v>-0.63500000000000001</v>
      </c>
      <c r="G202">
        <v>23.6</v>
      </c>
      <c r="H202">
        <v>4.63</v>
      </c>
      <c r="I202">
        <v>2.0699999999999998</v>
      </c>
      <c r="J202" t="s">
        <v>8</v>
      </c>
    </row>
    <row r="203" spans="1:10" hidden="1" x14ac:dyDescent="0.75">
      <c r="A203" s="1">
        <v>45940</v>
      </c>
      <c r="B203" t="s">
        <v>27</v>
      </c>
      <c r="C203">
        <v>0.83</v>
      </c>
      <c r="D203">
        <v>0.22800000000000001</v>
      </c>
      <c r="E203">
        <f t="shared" si="14"/>
        <v>0.60199999999999998</v>
      </c>
      <c r="G203">
        <v>22.8</v>
      </c>
      <c r="H203">
        <v>5.41</v>
      </c>
      <c r="I203">
        <v>0.31</v>
      </c>
      <c r="J203" t="s">
        <v>30</v>
      </c>
    </row>
    <row r="204" spans="1:10" hidden="1" x14ac:dyDescent="0.75">
      <c r="A204" s="1">
        <v>45940</v>
      </c>
      <c r="B204" t="s">
        <v>17</v>
      </c>
      <c r="C204">
        <v>0.16</v>
      </c>
      <c r="D204">
        <v>1.9850000000000001</v>
      </c>
      <c r="E204">
        <f t="shared" si="14"/>
        <v>-1.8250000000000002</v>
      </c>
      <c r="J204" t="s">
        <v>30</v>
      </c>
    </row>
    <row r="205" spans="1:10" hidden="1" x14ac:dyDescent="0.75">
      <c r="A205" s="1">
        <v>45940</v>
      </c>
      <c r="B205" t="s">
        <v>18</v>
      </c>
      <c r="C205">
        <v>0.89</v>
      </c>
      <c r="D205">
        <v>2.48</v>
      </c>
      <c r="E205">
        <f t="shared" si="14"/>
        <v>-1.5899999999999999</v>
      </c>
      <c r="J205" t="s">
        <v>30</v>
      </c>
    </row>
    <row r="206" spans="1:10" hidden="1" x14ac:dyDescent="0.75">
      <c r="A206" s="1">
        <v>45940</v>
      </c>
      <c r="B206" t="s">
        <v>19</v>
      </c>
      <c r="C206">
        <v>0.04</v>
      </c>
      <c r="D206">
        <v>1.72</v>
      </c>
      <c r="E206">
        <f t="shared" si="14"/>
        <v>-1.68</v>
      </c>
      <c r="G206">
        <v>21.6</v>
      </c>
      <c r="H206">
        <v>4.33</v>
      </c>
      <c r="J206" t="s">
        <v>8</v>
      </c>
    </row>
    <row r="207" spans="1:10" hidden="1" x14ac:dyDescent="0.75">
      <c r="A207" s="1">
        <v>45940</v>
      </c>
      <c r="B207" t="s">
        <v>20</v>
      </c>
      <c r="C207">
        <v>0.25</v>
      </c>
      <c r="D207">
        <v>1.93</v>
      </c>
      <c r="E207">
        <f t="shared" si="14"/>
        <v>-1.68</v>
      </c>
      <c r="G207">
        <v>22.3</v>
      </c>
      <c r="H207">
        <v>4.6900000000000004</v>
      </c>
      <c r="I207">
        <v>1.6</v>
      </c>
      <c r="J207" t="s">
        <v>8</v>
      </c>
    </row>
    <row r="208" spans="1:10" x14ac:dyDescent="0.75">
      <c r="A208" s="1">
        <v>45940</v>
      </c>
      <c r="B208" t="s">
        <v>21</v>
      </c>
      <c r="C208">
        <v>0.12</v>
      </c>
      <c r="D208">
        <v>2.93</v>
      </c>
      <c r="E208">
        <f t="shared" si="14"/>
        <v>-2.81</v>
      </c>
      <c r="J208" t="s">
        <v>30</v>
      </c>
    </row>
    <row r="209" spans="1:10" hidden="1" x14ac:dyDescent="0.75">
      <c r="A209" s="1">
        <v>45940</v>
      </c>
      <c r="B209" t="s">
        <v>22</v>
      </c>
      <c r="C209">
        <v>0.26</v>
      </c>
      <c r="D209">
        <v>1.135</v>
      </c>
      <c r="E209">
        <f t="shared" si="14"/>
        <v>-0.875</v>
      </c>
      <c r="F209" t="e">
        <f>'well dims'!#REF!+E209</f>
        <v>#REF!</v>
      </c>
      <c r="J209" t="s">
        <v>30</v>
      </c>
    </row>
    <row r="210" spans="1:10" hidden="1" x14ac:dyDescent="0.75">
      <c r="A210" s="1">
        <v>45940</v>
      </c>
      <c r="B210" t="s">
        <v>23</v>
      </c>
      <c r="C210">
        <v>0</v>
      </c>
      <c r="D210">
        <v>1.32</v>
      </c>
      <c r="E210">
        <f t="shared" si="14"/>
        <v>-1.32</v>
      </c>
      <c r="F210" t="e">
        <f>'well dims'!#REF!+E210</f>
        <v>#REF!</v>
      </c>
      <c r="G210">
        <v>23.6</v>
      </c>
      <c r="H210">
        <v>4.1100000000000003</v>
      </c>
      <c r="I210">
        <v>0.79</v>
      </c>
      <c r="J210" t="s">
        <v>8</v>
      </c>
    </row>
    <row r="211" spans="1:10" hidden="1" x14ac:dyDescent="0.75">
      <c r="A211" s="1">
        <v>45940</v>
      </c>
      <c r="B211" t="s">
        <v>24</v>
      </c>
      <c r="C211">
        <v>0</v>
      </c>
      <c r="J211" t="s">
        <v>55</v>
      </c>
    </row>
    <row r="212" spans="1:10" hidden="1" x14ac:dyDescent="0.75">
      <c r="A212" s="1">
        <v>45940</v>
      </c>
      <c r="B212" t="s">
        <v>25</v>
      </c>
      <c r="C212">
        <v>0.33</v>
      </c>
      <c r="D212">
        <v>1.56</v>
      </c>
      <c r="E212">
        <f t="shared" si="14"/>
        <v>-1.23</v>
      </c>
      <c r="F212" t="e">
        <f>'well dims'!#REF!+log!E212</f>
        <v>#REF!</v>
      </c>
      <c r="J212" t="s">
        <v>30</v>
      </c>
    </row>
    <row r="213" spans="1:10" hidden="1" x14ac:dyDescent="0.75">
      <c r="A213" s="1">
        <v>45940</v>
      </c>
      <c r="B213" t="s">
        <v>29</v>
      </c>
      <c r="C213">
        <v>0.03</v>
      </c>
      <c r="D213">
        <v>1.62</v>
      </c>
      <c r="E213">
        <f t="shared" si="14"/>
        <v>-1.59</v>
      </c>
      <c r="G213">
        <v>23.6</v>
      </c>
      <c r="H213">
        <v>5.0199999999999996</v>
      </c>
      <c r="I213">
        <v>4.84</v>
      </c>
      <c r="J213" t="s">
        <v>8</v>
      </c>
    </row>
    <row r="214" spans="1:10" hidden="1" x14ac:dyDescent="0.75">
      <c r="A214" s="1">
        <v>45597</v>
      </c>
      <c r="B214" t="s">
        <v>2</v>
      </c>
      <c r="C214">
        <v>0.44</v>
      </c>
      <c r="D214">
        <v>0.99199999999999999</v>
      </c>
      <c r="E214">
        <f t="shared" si="14"/>
        <v>-0.55200000000000005</v>
      </c>
      <c r="G214">
        <v>21</v>
      </c>
      <c r="H214">
        <v>6.48</v>
      </c>
      <c r="J214" t="s">
        <v>8</v>
      </c>
    </row>
    <row r="215" spans="1:10" hidden="1" x14ac:dyDescent="0.75">
      <c r="A215" s="1">
        <v>45597</v>
      </c>
      <c r="B215" t="s">
        <v>11</v>
      </c>
      <c r="C215">
        <v>0.41499999999999998</v>
      </c>
      <c r="D215">
        <v>0.70499999999999996</v>
      </c>
      <c r="E215">
        <f t="shared" si="14"/>
        <v>-0.28999999999999998</v>
      </c>
      <c r="G215">
        <v>21.5</v>
      </c>
      <c r="H215">
        <v>6.22</v>
      </c>
      <c r="J215" t="s">
        <v>8</v>
      </c>
    </row>
    <row r="216" spans="1:10" hidden="1" x14ac:dyDescent="0.75">
      <c r="A216" s="1">
        <v>45597</v>
      </c>
      <c r="B216" t="s">
        <v>12</v>
      </c>
      <c r="C216">
        <v>0.755</v>
      </c>
      <c r="D216">
        <v>1.65</v>
      </c>
      <c r="E216">
        <f t="shared" si="14"/>
        <v>-0.89499999999999991</v>
      </c>
      <c r="G216">
        <v>21.3</v>
      </c>
      <c r="H216">
        <v>7.24</v>
      </c>
      <c r="J216" t="s">
        <v>8</v>
      </c>
    </row>
    <row r="217" spans="1:10" hidden="1" x14ac:dyDescent="0.75">
      <c r="A217" s="1">
        <v>45597</v>
      </c>
      <c r="B217" t="s">
        <v>13</v>
      </c>
      <c r="C217">
        <v>0.75</v>
      </c>
      <c r="D217">
        <v>1.95</v>
      </c>
      <c r="E217">
        <f t="shared" si="14"/>
        <v>-1.2</v>
      </c>
      <c r="G217">
        <v>22.3</v>
      </c>
      <c r="H217">
        <v>5.24</v>
      </c>
      <c r="J217" t="s">
        <v>8</v>
      </c>
    </row>
    <row r="218" spans="1:10" hidden="1" x14ac:dyDescent="0.75">
      <c r="A218" s="1">
        <v>45597</v>
      </c>
      <c r="B218" t="s">
        <v>14</v>
      </c>
      <c r="C218">
        <v>0.09</v>
      </c>
      <c r="D218">
        <v>0.3</v>
      </c>
      <c r="E218">
        <f t="shared" si="14"/>
        <v>-0.21</v>
      </c>
      <c r="G218">
        <v>21.9</v>
      </c>
      <c r="H218">
        <v>4.24</v>
      </c>
      <c r="J218" t="s">
        <v>8</v>
      </c>
    </row>
    <row r="219" spans="1:10" hidden="1" x14ac:dyDescent="0.75">
      <c r="A219" s="1">
        <v>45597</v>
      </c>
      <c r="B219" t="s">
        <v>15</v>
      </c>
      <c r="C219">
        <v>0.79</v>
      </c>
      <c r="D219">
        <v>1.45</v>
      </c>
      <c r="E219">
        <f t="shared" si="14"/>
        <v>-0.65999999999999992</v>
      </c>
      <c r="G219">
        <v>22.5</v>
      </c>
      <c r="H219">
        <v>4.6399999999999997</v>
      </c>
      <c r="J219" t="s">
        <v>8</v>
      </c>
    </row>
    <row r="220" spans="1:10" hidden="1" x14ac:dyDescent="0.75">
      <c r="A220" s="1">
        <v>45597</v>
      </c>
      <c r="B220" t="s">
        <v>16</v>
      </c>
      <c r="C220">
        <v>0.83</v>
      </c>
      <c r="F220">
        <v>18.3</v>
      </c>
      <c r="G220">
        <v>19.8</v>
      </c>
      <c r="H220">
        <v>5.97</v>
      </c>
      <c r="J220" t="s">
        <v>8</v>
      </c>
    </row>
    <row r="221" spans="1:10" hidden="1" x14ac:dyDescent="0.75">
      <c r="A221" s="1">
        <v>45597</v>
      </c>
      <c r="B221" t="s">
        <v>17</v>
      </c>
      <c r="C221">
        <v>0.16</v>
      </c>
      <c r="D221">
        <v>0.5</v>
      </c>
      <c r="E221">
        <f>C221-D221</f>
        <v>-0.33999999999999997</v>
      </c>
      <c r="G221">
        <v>21.6</v>
      </c>
      <c r="H221">
        <v>4.2699999999999996</v>
      </c>
      <c r="J221" t="s">
        <v>8</v>
      </c>
    </row>
    <row r="222" spans="1:10" hidden="1" x14ac:dyDescent="0.75">
      <c r="A222" s="1">
        <v>45597</v>
      </c>
      <c r="B222" t="s">
        <v>18</v>
      </c>
      <c r="C222">
        <v>0.89</v>
      </c>
      <c r="D222">
        <v>0.9</v>
      </c>
      <c r="E222">
        <f t="shared" ref="E222:E229" si="15">C222-D222</f>
        <v>-1.0000000000000009E-2</v>
      </c>
      <c r="G222">
        <v>21.6</v>
      </c>
      <c r="H222">
        <v>4.42</v>
      </c>
      <c r="J222" t="s">
        <v>8</v>
      </c>
    </row>
    <row r="223" spans="1:10" hidden="1" x14ac:dyDescent="0.75">
      <c r="A223" s="1">
        <v>45597</v>
      </c>
      <c r="B223" t="s">
        <v>19</v>
      </c>
      <c r="C223">
        <v>0.04</v>
      </c>
      <c r="D223">
        <v>1.5</v>
      </c>
      <c r="E223">
        <f t="shared" si="15"/>
        <v>-1.46</v>
      </c>
      <c r="G223">
        <v>22.2</v>
      </c>
      <c r="H223">
        <v>4.4400000000000004</v>
      </c>
      <c r="J223" t="s">
        <v>8</v>
      </c>
    </row>
    <row r="224" spans="1:10" hidden="1" x14ac:dyDescent="0.75">
      <c r="A224" s="1">
        <v>45597</v>
      </c>
      <c r="B224" t="s">
        <v>20</v>
      </c>
      <c r="C224">
        <v>0.25</v>
      </c>
      <c r="D224">
        <v>0.45600000000000002</v>
      </c>
      <c r="E224">
        <f t="shared" si="15"/>
        <v>-0.20600000000000002</v>
      </c>
      <c r="G224">
        <v>21.7</v>
      </c>
      <c r="H224">
        <v>4.84</v>
      </c>
      <c r="J224" t="s">
        <v>8</v>
      </c>
    </row>
    <row r="225" spans="1:10" x14ac:dyDescent="0.75">
      <c r="A225" s="1">
        <v>45597</v>
      </c>
      <c r="B225" t="s">
        <v>21</v>
      </c>
      <c r="C225">
        <v>0.12</v>
      </c>
      <c r="D225">
        <v>2.23</v>
      </c>
      <c r="E225">
        <f t="shared" si="15"/>
        <v>-2.11</v>
      </c>
      <c r="G225">
        <v>22.8</v>
      </c>
      <c r="H225">
        <v>4.92</v>
      </c>
      <c r="J225" t="s">
        <v>8</v>
      </c>
    </row>
    <row r="226" spans="1:10" hidden="1" x14ac:dyDescent="0.75">
      <c r="A226" s="1">
        <v>45597</v>
      </c>
      <c r="B226" t="s">
        <v>22</v>
      </c>
      <c r="C226">
        <v>0.26</v>
      </c>
      <c r="D226">
        <v>0.53800000000000003</v>
      </c>
      <c r="E226">
        <f t="shared" si="15"/>
        <v>-0.27800000000000002</v>
      </c>
      <c r="G226">
        <v>21.5</v>
      </c>
      <c r="H226">
        <v>3.89</v>
      </c>
      <c r="J226" t="s">
        <v>8</v>
      </c>
    </row>
    <row r="227" spans="1:10" hidden="1" x14ac:dyDescent="0.75">
      <c r="A227" s="1">
        <v>45597</v>
      </c>
      <c r="B227" t="s">
        <v>23</v>
      </c>
      <c r="C227">
        <v>0</v>
      </c>
      <c r="D227">
        <v>0.55600000000000005</v>
      </c>
      <c r="E227">
        <f t="shared" si="15"/>
        <v>-0.55600000000000005</v>
      </c>
      <c r="G227">
        <v>23.3</v>
      </c>
      <c r="H227">
        <v>4.05</v>
      </c>
      <c r="J227" t="s">
        <v>8</v>
      </c>
    </row>
    <row r="228" spans="1:10" hidden="1" x14ac:dyDescent="0.75">
      <c r="A228" s="1">
        <v>45597</v>
      </c>
      <c r="B228" t="s">
        <v>24</v>
      </c>
      <c r="C228">
        <v>0</v>
      </c>
      <c r="D228">
        <v>0.56000000000000005</v>
      </c>
      <c r="E228">
        <f t="shared" si="15"/>
        <v>-0.56000000000000005</v>
      </c>
      <c r="G228">
        <v>23.6</v>
      </c>
      <c r="H228">
        <v>3.98</v>
      </c>
      <c r="J228" t="s">
        <v>8</v>
      </c>
    </row>
    <row r="229" spans="1:10" hidden="1" x14ac:dyDescent="0.75">
      <c r="A229" s="1">
        <v>45597</v>
      </c>
      <c r="B229" t="s">
        <v>25</v>
      </c>
      <c r="C229">
        <v>0.33</v>
      </c>
      <c r="D229">
        <v>1.18</v>
      </c>
      <c r="E229">
        <f t="shared" si="15"/>
        <v>-0.84999999999999987</v>
      </c>
      <c r="G229">
        <v>22.8</v>
      </c>
      <c r="H229">
        <v>4.3600000000000003</v>
      </c>
      <c r="J229" t="s">
        <v>8</v>
      </c>
    </row>
  </sheetData>
  <autoFilter ref="A1:L229" xr:uid="{D8F8C743-6008-44C7-8E48-24FED6FBC91C}">
    <filterColumn colId="1">
      <filters>
        <filter val="6GW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97C0-7618-4F8F-82E4-510ABB360005}">
  <dimension ref="A1:H18"/>
  <sheetViews>
    <sheetView zoomScale="130" zoomScaleNormal="130" workbookViewId="0">
      <selection activeCell="F13" sqref="F13"/>
    </sheetView>
  </sheetViews>
  <sheetFormatPr defaultRowHeight="14.75" x14ac:dyDescent="0.75"/>
  <cols>
    <col min="3" max="3" width="13.54296875" bestFit="1" customWidth="1"/>
    <col min="4" max="4" width="10.54296875" bestFit="1" customWidth="1"/>
    <col min="5" max="5" width="13.7265625" bestFit="1" customWidth="1"/>
    <col min="6" max="6" width="13.26953125" bestFit="1" customWidth="1"/>
    <col min="7" max="7" width="12.54296875" bestFit="1" customWidth="1"/>
    <col min="8" max="8" width="18.26953125" bestFit="1" customWidth="1"/>
  </cols>
  <sheetData>
    <row r="1" spans="1:8" x14ac:dyDescent="0.75">
      <c r="A1" t="s">
        <v>1</v>
      </c>
      <c r="B1" t="s">
        <v>36</v>
      </c>
      <c r="C1" t="s">
        <v>35</v>
      </c>
      <c r="D1" t="s">
        <v>37</v>
      </c>
      <c r="E1" t="s">
        <v>38</v>
      </c>
      <c r="F1" t="s">
        <v>39</v>
      </c>
      <c r="G1" t="s">
        <v>40</v>
      </c>
      <c r="H1" t="s">
        <v>43</v>
      </c>
    </row>
    <row r="2" spans="1:8" x14ac:dyDescent="0.75">
      <c r="A2" t="s">
        <v>2</v>
      </c>
      <c r="B2">
        <v>5</v>
      </c>
      <c r="C2">
        <v>1.65</v>
      </c>
      <c r="D2">
        <v>0.44</v>
      </c>
      <c r="E2">
        <f>'well heightw extension '!C1/100</f>
        <v>1.2150000000000001</v>
      </c>
      <c r="F2">
        <f t="shared" ref="F2:F18" si="0">C2-D2</f>
        <v>1.21</v>
      </c>
      <c r="G2">
        <v>0.11</v>
      </c>
      <c r="H2">
        <v>4.2671999999999999</v>
      </c>
    </row>
    <row r="3" spans="1:8" x14ac:dyDescent="0.75">
      <c r="A3" t="s">
        <v>11</v>
      </c>
      <c r="B3">
        <v>5</v>
      </c>
      <c r="C3">
        <v>1.01</v>
      </c>
      <c r="D3">
        <v>0.41499999999999998</v>
      </c>
      <c r="E3">
        <f>'well heightw extension '!C2/100</f>
        <v>1.4319999999999999</v>
      </c>
      <c r="F3">
        <f t="shared" si="0"/>
        <v>0.59499999999999997</v>
      </c>
      <c r="G3">
        <v>0.11</v>
      </c>
      <c r="H3">
        <v>2.1335999999999999</v>
      </c>
    </row>
    <row r="4" spans="1:8" x14ac:dyDescent="0.75">
      <c r="A4" t="s">
        <v>12</v>
      </c>
      <c r="B4">
        <v>5</v>
      </c>
      <c r="C4">
        <v>1.92</v>
      </c>
      <c r="D4">
        <v>0.755</v>
      </c>
      <c r="E4">
        <f>G4-D4</f>
        <v>-0.95500000000000007</v>
      </c>
      <c r="F4">
        <f t="shared" si="0"/>
        <v>1.165</v>
      </c>
      <c r="G4">
        <v>-0.2</v>
      </c>
      <c r="H4">
        <v>1.2192000000000001</v>
      </c>
    </row>
    <row r="5" spans="1:8" x14ac:dyDescent="0.75">
      <c r="A5" t="s">
        <v>13</v>
      </c>
      <c r="B5">
        <v>5</v>
      </c>
      <c r="C5">
        <v>1.57</v>
      </c>
      <c r="D5">
        <v>0.24</v>
      </c>
      <c r="E5">
        <f>'well heightw extension '!C4/100</f>
        <v>0.95</v>
      </c>
      <c r="F5">
        <f t="shared" si="0"/>
        <v>1.33</v>
      </c>
      <c r="G5">
        <v>0.11</v>
      </c>
      <c r="H5">
        <v>0.30480000000000002</v>
      </c>
    </row>
    <row r="6" spans="1:8" x14ac:dyDescent="0.75">
      <c r="A6" t="s">
        <v>14</v>
      </c>
      <c r="B6">
        <v>5</v>
      </c>
      <c r="C6">
        <v>1.07</v>
      </c>
      <c r="D6">
        <v>0.09</v>
      </c>
      <c r="E6">
        <f>'well heightw extension '!C5/100</f>
        <v>0.8</v>
      </c>
      <c r="F6">
        <f t="shared" si="0"/>
        <v>0.98000000000000009</v>
      </c>
      <c r="G6">
        <v>0</v>
      </c>
      <c r="H6">
        <v>4.8768000000000002</v>
      </c>
    </row>
    <row r="7" spans="1:8" x14ac:dyDescent="0.75">
      <c r="A7" t="s">
        <v>15</v>
      </c>
      <c r="B7">
        <v>5</v>
      </c>
      <c r="C7">
        <v>1.34</v>
      </c>
      <c r="D7">
        <v>8.5000000000000006E-2</v>
      </c>
      <c r="E7">
        <f>'well heightw extension '!C6/100</f>
        <v>0.79</v>
      </c>
      <c r="F7">
        <f t="shared" si="0"/>
        <v>1.2550000000000001</v>
      </c>
      <c r="G7">
        <v>0</v>
      </c>
      <c r="H7">
        <v>7.62</v>
      </c>
    </row>
    <row r="8" spans="1:8" x14ac:dyDescent="0.75">
      <c r="A8" t="s">
        <v>27</v>
      </c>
      <c r="B8">
        <v>5</v>
      </c>
      <c r="C8">
        <v>2.61</v>
      </c>
      <c r="D8">
        <v>0.83</v>
      </c>
      <c r="F8">
        <f t="shared" si="0"/>
        <v>1.7799999999999998</v>
      </c>
      <c r="G8">
        <v>0.2</v>
      </c>
      <c r="H8">
        <v>16.806671999999999</v>
      </c>
    </row>
    <row r="9" spans="1:8" x14ac:dyDescent="0.75">
      <c r="A9" t="s">
        <v>17</v>
      </c>
      <c r="B9">
        <v>6</v>
      </c>
      <c r="C9">
        <v>2.41</v>
      </c>
      <c r="D9">
        <v>0.16</v>
      </c>
      <c r="F9">
        <f t="shared" si="0"/>
        <v>2.25</v>
      </c>
      <c r="H9">
        <v>0.30480000000000002</v>
      </c>
    </row>
    <row r="10" spans="1:8" x14ac:dyDescent="0.75">
      <c r="A10" t="s">
        <v>18</v>
      </c>
      <c r="B10">
        <v>6</v>
      </c>
      <c r="C10">
        <v>3.12</v>
      </c>
      <c r="D10">
        <v>0.89</v>
      </c>
      <c r="F10">
        <f t="shared" si="0"/>
        <v>2.23</v>
      </c>
      <c r="H10">
        <v>2.4384000000000001</v>
      </c>
    </row>
    <row r="11" spans="1:8" x14ac:dyDescent="0.75">
      <c r="A11" t="s">
        <v>19</v>
      </c>
      <c r="B11">
        <v>6</v>
      </c>
      <c r="C11">
        <v>1.97</v>
      </c>
      <c r="D11">
        <v>0.04</v>
      </c>
      <c r="E11">
        <f>'well heightw extension '!C10/100</f>
        <v>0.87</v>
      </c>
      <c r="F11">
        <f t="shared" si="0"/>
        <v>1.93</v>
      </c>
      <c r="G11">
        <v>0</v>
      </c>
      <c r="H11">
        <v>7.9248000000000003</v>
      </c>
    </row>
    <row r="12" spans="1:8" x14ac:dyDescent="0.75">
      <c r="A12" t="s">
        <v>20</v>
      </c>
      <c r="B12">
        <v>6</v>
      </c>
      <c r="C12">
        <v>3.04</v>
      </c>
      <c r="D12">
        <v>0.25</v>
      </c>
      <c r="F12">
        <f t="shared" si="0"/>
        <v>2.79</v>
      </c>
      <c r="G12">
        <v>0.2</v>
      </c>
      <c r="H12">
        <v>1.524</v>
      </c>
    </row>
    <row r="13" spans="1:8" x14ac:dyDescent="0.75">
      <c r="A13" t="s">
        <v>21</v>
      </c>
      <c r="B13">
        <v>6</v>
      </c>
      <c r="C13">
        <v>4.4249999999999998</v>
      </c>
      <c r="D13">
        <v>0.12</v>
      </c>
      <c r="E13">
        <f>'well heightw extension '!C12/100</f>
        <v>1.1100000000000001</v>
      </c>
      <c r="F13">
        <f t="shared" si="0"/>
        <v>4.3049999999999997</v>
      </c>
      <c r="G13">
        <v>-0.85</v>
      </c>
      <c r="H13">
        <v>7.62</v>
      </c>
    </row>
    <row r="14" spans="1:8" x14ac:dyDescent="0.75">
      <c r="A14" t="s">
        <v>22</v>
      </c>
      <c r="B14">
        <v>9</v>
      </c>
      <c r="C14">
        <v>1.1299999999999999</v>
      </c>
      <c r="D14">
        <v>0.26</v>
      </c>
      <c r="E14">
        <f>'well heightw extension '!C13/100</f>
        <v>0.9</v>
      </c>
      <c r="F14">
        <f t="shared" si="0"/>
        <v>0.86999999999999988</v>
      </c>
      <c r="G14">
        <v>0.12</v>
      </c>
      <c r="H14">
        <v>0.30480000000000002</v>
      </c>
    </row>
    <row r="15" spans="1:8" x14ac:dyDescent="0.75">
      <c r="A15" t="s">
        <v>23</v>
      </c>
      <c r="B15">
        <v>9</v>
      </c>
      <c r="C15">
        <v>1.77</v>
      </c>
      <c r="D15">
        <v>0</v>
      </c>
      <c r="E15">
        <f>'well heightw extension '!C14/100</f>
        <v>0.74</v>
      </c>
      <c r="F15">
        <f t="shared" si="0"/>
        <v>1.77</v>
      </c>
      <c r="G15">
        <v>0</v>
      </c>
      <c r="H15">
        <v>1.524</v>
      </c>
    </row>
    <row r="16" spans="1:8" x14ac:dyDescent="0.75">
      <c r="A16" t="s">
        <v>24</v>
      </c>
      <c r="B16">
        <v>9</v>
      </c>
      <c r="C16">
        <v>1.08</v>
      </c>
      <c r="D16">
        <v>0</v>
      </c>
      <c r="E16">
        <f>'well heightw extension '!C15/100</f>
        <v>0.74</v>
      </c>
      <c r="F16">
        <f t="shared" si="0"/>
        <v>1.08</v>
      </c>
      <c r="G16">
        <v>0</v>
      </c>
      <c r="H16">
        <v>4.2671999999999999</v>
      </c>
    </row>
    <row r="17" spans="1:8" x14ac:dyDescent="0.75">
      <c r="A17" t="s">
        <v>25</v>
      </c>
      <c r="B17">
        <v>9</v>
      </c>
      <c r="C17">
        <v>1.58</v>
      </c>
      <c r="D17">
        <v>0.33</v>
      </c>
      <c r="E17">
        <f>'well heightw extension '!C16/100</f>
        <v>1.1000000000000001</v>
      </c>
      <c r="F17">
        <f t="shared" si="0"/>
        <v>1.25</v>
      </c>
      <c r="G17">
        <v>0.15</v>
      </c>
      <c r="H17">
        <v>0.3</v>
      </c>
    </row>
    <row r="18" spans="1:8" x14ac:dyDescent="0.75">
      <c r="A18" t="s">
        <v>29</v>
      </c>
      <c r="B18">
        <v>9</v>
      </c>
      <c r="C18">
        <v>1.9</v>
      </c>
      <c r="D18">
        <v>0.03</v>
      </c>
      <c r="E18">
        <f>'well heightw extension '!C17/100</f>
        <v>0.72499999999999998</v>
      </c>
      <c r="F18">
        <f t="shared" si="0"/>
        <v>1.8699999999999999</v>
      </c>
      <c r="G18">
        <v>0</v>
      </c>
      <c r="H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E982-E236-43E1-B722-294E070E3A97}">
  <dimension ref="A1:B18"/>
  <sheetViews>
    <sheetView workbookViewId="0">
      <selection activeCell="B18" sqref="B2:B18"/>
    </sheetView>
  </sheetViews>
  <sheetFormatPr defaultRowHeight="14.75" x14ac:dyDescent="0.75"/>
  <cols>
    <col min="2" max="2" width="21.40625" bestFit="1" customWidth="1"/>
  </cols>
  <sheetData>
    <row r="1" spans="1:2" x14ac:dyDescent="0.75">
      <c r="A1" t="s">
        <v>1</v>
      </c>
      <c r="B1" t="s">
        <v>33</v>
      </c>
    </row>
    <row r="2" spans="1:2" x14ac:dyDescent="0.75">
      <c r="A2" t="s">
        <v>2</v>
      </c>
      <c r="B2">
        <v>0.11</v>
      </c>
    </row>
    <row r="3" spans="1:2" x14ac:dyDescent="0.75">
      <c r="A3" t="s">
        <v>11</v>
      </c>
      <c r="B3">
        <v>0.11</v>
      </c>
    </row>
    <row r="4" spans="1:2" x14ac:dyDescent="0.75">
      <c r="A4" t="s">
        <v>12</v>
      </c>
      <c r="B4">
        <v>-0.2</v>
      </c>
    </row>
    <row r="5" spans="1:2" x14ac:dyDescent="0.75">
      <c r="A5" t="s">
        <v>13</v>
      </c>
      <c r="B5">
        <v>0.11</v>
      </c>
    </row>
    <row r="6" spans="1:2" x14ac:dyDescent="0.75">
      <c r="A6" t="s">
        <v>14</v>
      </c>
      <c r="B6">
        <v>0</v>
      </c>
    </row>
    <row r="7" spans="1:2" x14ac:dyDescent="0.75">
      <c r="A7" t="s">
        <v>15</v>
      </c>
      <c r="B7">
        <v>0</v>
      </c>
    </row>
    <row r="8" spans="1:2" x14ac:dyDescent="0.75">
      <c r="A8" t="s">
        <v>27</v>
      </c>
      <c r="B8">
        <v>0.2</v>
      </c>
    </row>
    <row r="9" spans="1:2" x14ac:dyDescent="0.75">
      <c r="A9" t="s">
        <v>17</v>
      </c>
    </row>
    <row r="10" spans="1:2" x14ac:dyDescent="0.75">
      <c r="A10" t="s">
        <v>18</v>
      </c>
    </row>
    <row r="11" spans="1:2" x14ac:dyDescent="0.75">
      <c r="A11" t="s">
        <v>19</v>
      </c>
      <c r="B11">
        <v>0</v>
      </c>
    </row>
    <row r="12" spans="1:2" x14ac:dyDescent="0.75">
      <c r="A12" t="s">
        <v>20</v>
      </c>
      <c r="B12">
        <v>0.2</v>
      </c>
    </row>
    <row r="13" spans="1:2" x14ac:dyDescent="0.75">
      <c r="A13" t="s">
        <v>21</v>
      </c>
      <c r="B13">
        <v>-0.85</v>
      </c>
    </row>
    <row r="14" spans="1:2" x14ac:dyDescent="0.75">
      <c r="A14" t="s">
        <v>22</v>
      </c>
      <c r="B14">
        <v>0.12</v>
      </c>
    </row>
    <row r="15" spans="1:2" x14ac:dyDescent="0.75">
      <c r="A15" t="s">
        <v>23</v>
      </c>
      <c r="B15">
        <v>0</v>
      </c>
    </row>
    <row r="16" spans="1:2" x14ac:dyDescent="0.75">
      <c r="A16" t="s">
        <v>24</v>
      </c>
      <c r="B16">
        <v>0</v>
      </c>
    </row>
    <row r="17" spans="1:2" x14ac:dyDescent="0.75">
      <c r="A17" t="s">
        <v>25</v>
      </c>
      <c r="B17">
        <v>0.15</v>
      </c>
    </row>
    <row r="18" spans="1:2" x14ac:dyDescent="0.75">
      <c r="A18" t="s">
        <v>29</v>
      </c>
      <c r="B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FA8B-8EFF-41DF-9628-C4500C1F336E}">
  <dimension ref="A1:D18"/>
  <sheetViews>
    <sheetView workbookViewId="0">
      <selection activeCell="B14" sqref="B14"/>
    </sheetView>
  </sheetViews>
  <sheetFormatPr defaultRowHeight="14.75" x14ac:dyDescent="0.75"/>
  <cols>
    <col min="2" max="2" width="14.40625" bestFit="1" customWidth="1"/>
    <col min="3" max="3" width="17.54296875" bestFit="1" customWidth="1"/>
  </cols>
  <sheetData>
    <row r="1" spans="1:4" x14ac:dyDescent="0.75">
      <c r="A1" t="s">
        <v>1</v>
      </c>
      <c r="B1" t="s">
        <v>41</v>
      </c>
      <c r="C1" t="s">
        <v>42</v>
      </c>
    </row>
    <row r="2" spans="1:4" x14ac:dyDescent="0.75">
      <c r="A2" t="s">
        <v>2</v>
      </c>
      <c r="B2">
        <v>32.99</v>
      </c>
      <c r="C2">
        <v>28.436</v>
      </c>
      <c r="D2">
        <f>B2-C2</f>
        <v>4.554000000000002</v>
      </c>
    </row>
    <row r="3" spans="1:4" x14ac:dyDescent="0.75">
      <c r="A3" t="s">
        <v>11</v>
      </c>
      <c r="B3">
        <v>32.518999999999998</v>
      </c>
      <c r="C3">
        <v>28.436</v>
      </c>
      <c r="D3">
        <f t="shared" ref="D3:D18" si="0">B3-C3</f>
        <v>4.0829999999999984</v>
      </c>
    </row>
    <row r="4" spans="1:4" x14ac:dyDescent="0.75">
      <c r="A4" t="s">
        <v>12</v>
      </c>
      <c r="B4">
        <v>35.408999999999999</v>
      </c>
      <c r="C4">
        <v>28.436</v>
      </c>
      <c r="D4">
        <f t="shared" si="0"/>
        <v>6.972999999999999</v>
      </c>
    </row>
    <row r="5" spans="1:4" x14ac:dyDescent="0.75">
      <c r="A5" t="s">
        <v>13</v>
      </c>
      <c r="B5">
        <v>33.191000000000003</v>
      </c>
      <c r="C5">
        <v>28.436</v>
      </c>
      <c r="D5">
        <f t="shared" si="0"/>
        <v>4.7550000000000026</v>
      </c>
    </row>
    <row r="6" spans="1:4" x14ac:dyDescent="0.75">
      <c r="A6" t="s">
        <v>14</v>
      </c>
      <c r="B6">
        <v>32.14</v>
      </c>
      <c r="C6">
        <v>28.436</v>
      </c>
      <c r="D6">
        <f t="shared" si="0"/>
        <v>3.7040000000000006</v>
      </c>
    </row>
    <row r="7" spans="1:4" x14ac:dyDescent="0.75">
      <c r="A7" t="s">
        <v>15</v>
      </c>
      <c r="B7">
        <v>32.064</v>
      </c>
      <c r="C7">
        <v>28.436</v>
      </c>
      <c r="D7">
        <f t="shared" si="0"/>
        <v>3.6280000000000001</v>
      </c>
    </row>
    <row r="8" spans="1:4" x14ac:dyDescent="0.75">
      <c r="A8" t="s">
        <v>27</v>
      </c>
      <c r="B8">
        <v>33.777000000000001</v>
      </c>
      <c r="C8">
        <v>28.436</v>
      </c>
      <c r="D8">
        <f t="shared" si="0"/>
        <v>5.3410000000000011</v>
      </c>
    </row>
    <row r="9" spans="1:4" x14ac:dyDescent="0.75">
      <c r="A9" t="s">
        <v>17</v>
      </c>
      <c r="B9">
        <v>44.037999999999997</v>
      </c>
      <c r="C9">
        <v>41.503</v>
      </c>
      <c r="D9">
        <f t="shared" si="0"/>
        <v>2.5349999999999966</v>
      </c>
    </row>
    <row r="10" spans="1:4" x14ac:dyDescent="0.75">
      <c r="A10" t="s">
        <v>18</v>
      </c>
      <c r="B10">
        <v>52.57</v>
      </c>
      <c r="C10">
        <v>41.503</v>
      </c>
      <c r="D10">
        <f t="shared" si="0"/>
        <v>11.067</v>
      </c>
    </row>
    <row r="11" spans="1:4" x14ac:dyDescent="0.75">
      <c r="A11" t="s">
        <v>19</v>
      </c>
      <c r="B11">
        <v>42.024999999999999</v>
      </c>
      <c r="C11">
        <v>41.503</v>
      </c>
      <c r="D11">
        <f t="shared" si="0"/>
        <v>0.52199999999999847</v>
      </c>
    </row>
    <row r="12" spans="1:4" x14ac:dyDescent="0.75">
      <c r="A12" t="s">
        <v>20</v>
      </c>
      <c r="B12">
        <v>41.162999999999997</v>
      </c>
      <c r="C12">
        <v>41.503</v>
      </c>
      <c r="D12">
        <f t="shared" si="0"/>
        <v>-0.34000000000000341</v>
      </c>
    </row>
    <row r="13" spans="1:4" x14ac:dyDescent="0.75">
      <c r="A13" t="s">
        <v>21</v>
      </c>
      <c r="B13">
        <v>38.177999999999997</v>
      </c>
      <c r="C13">
        <v>41.503</v>
      </c>
      <c r="D13">
        <f t="shared" si="0"/>
        <v>-3.3250000000000028</v>
      </c>
    </row>
    <row r="14" spans="1:4" x14ac:dyDescent="0.75">
      <c r="A14" t="s">
        <v>22</v>
      </c>
      <c r="B14">
        <v>38.847999999999999</v>
      </c>
      <c r="C14">
        <v>38.847999999999999</v>
      </c>
      <c r="D14">
        <f t="shared" si="0"/>
        <v>0</v>
      </c>
    </row>
    <row r="15" spans="1:4" x14ac:dyDescent="0.75">
      <c r="A15" t="s">
        <v>23</v>
      </c>
      <c r="B15">
        <v>42.277999999999999</v>
      </c>
      <c r="C15">
        <v>38.847999999999999</v>
      </c>
      <c r="D15">
        <f t="shared" si="0"/>
        <v>3.4299999999999997</v>
      </c>
    </row>
    <row r="16" spans="1:4" x14ac:dyDescent="0.75">
      <c r="A16" t="s">
        <v>24</v>
      </c>
      <c r="B16">
        <v>39.201999999999998</v>
      </c>
      <c r="C16">
        <v>38.847999999999999</v>
      </c>
      <c r="D16">
        <f t="shared" si="0"/>
        <v>0.3539999999999992</v>
      </c>
    </row>
    <row r="17" spans="1:4" x14ac:dyDescent="0.75">
      <c r="A17" t="s">
        <v>25</v>
      </c>
      <c r="B17">
        <v>39.274000000000001</v>
      </c>
      <c r="C17">
        <v>38.847999999999999</v>
      </c>
      <c r="D17">
        <f t="shared" si="0"/>
        <v>0.42600000000000193</v>
      </c>
    </row>
    <row r="18" spans="1:4" x14ac:dyDescent="0.75">
      <c r="A18" t="s">
        <v>29</v>
      </c>
      <c r="B18">
        <v>40.115000000000002</v>
      </c>
      <c r="C18">
        <v>38.847999999999999</v>
      </c>
      <c r="D18">
        <f t="shared" si="0"/>
        <v>1.267000000000003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D3FF-142F-49B1-8302-8B738176724B}">
  <dimension ref="A1:Q17"/>
  <sheetViews>
    <sheetView workbookViewId="0">
      <selection activeCell="S28" sqref="S28"/>
    </sheetView>
  </sheetViews>
  <sheetFormatPr defaultColWidth="8.7265625" defaultRowHeight="14.75" x14ac:dyDescent="0.75"/>
  <cols>
    <col min="1" max="1" width="9" bestFit="1" customWidth="1"/>
    <col min="5" max="5" width="9" bestFit="1" customWidth="1"/>
    <col min="9" max="9" width="9" bestFit="1" customWidth="1"/>
    <col min="16" max="16" width="10.40625" bestFit="1" customWidth="1"/>
  </cols>
  <sheetData>
    <row r="1" spans="1:17" x14ac:dyDescent="0.75">
      <c r="A1" s="1">
        <v>45442</v>
      </c>
      <c r="B1" t="s">
        <v>2</v>
      </c>
      <c r="C1">
        <v>1.06</v>
      </c>
      <c r="E1" s="1">
        <v>45463</v>
      </c>
      <c r="F1" t="s">
        <v>2</v>
      </c>
      <c r="G1">
        <v>1.06</v>
      </c>
      <c r="I1" s="1">
        <v>45484</v>
      </c>
      <c r="J1" t="s">
        <v>2</v>
      </c>
      <c r="M1">
        <v>1.06</v>
      </c>
      <c r="O1" t="s">
        <v>2</v>
      </c>
      <c r="P1" s="1">
        <v>45940</v>
      </c>
      <c r="Q1">
        <v>1.65</v>
      </c>
    </row>
    <row r="2" spans="1:17" x14ac:dyDescent="0.75">
      <c r="A2" s="1">
        <v>45442</v>
      </c>
      <c r="B2" t="s">
        <v>11</v>
      </c>
      <c r="C2">
        <v>1.01</v>
      </c>
      <c r="E2" s="1">
        <v>45463</v>
      </c>
      <c r="F2" t="s">
        <v>11</v>
      </c>
      <c r="G2">
        <v>1.01</v>
      </c>
      <c r="I2" s="1">
        <v>45484</v>
      </c>
      <c r="J2" t="s">
        <v>11</v>
      </c>
      <c r="M2">
        <v>1.01</v>
      </c>
      <c r="O2" t="s">
        <v>11</v>
      </c>
      <c r="P2" s="1">
        <v>45940</v>
      </c>
      <c r="Q2">
        <v>1.01</v>
      </c>
    </row>
    <row r="3" spans="1:17" x14ac:dyDescent="0.75">
      <c r="A3" s="1">
        <v>45442</v>
      </c>
      <c r="B3" t="s">
        <v>12</v>
      </c>
      <c r="C3">
        <v>1.04</v>
      </c>
      <c r="E3" s="1">
        <v>45463</v>
      </c>
      <c r="F3" t="s">
        <v>12</v>
      </c>
      <c r="G3">
        <v>1.92</v>
      </c>
      <c r="I3" s="1">
        <v>45484</v>
      </c>
      <c r="J3" t="s">
        <v>12</v>
      </c>
      <c r="O3" t="s">
        <v>12</v>
      </c>
      <c r="P3" s="1">
        <v>45940</v>
      </c>
      <c r="Q3">
        <v>1.92</v>
      </c>
    </row>
    <row r="4" spans="1:17" x14ac:dyDescent="0.75">
      <c r="A4" s="1">
        <v>45442</v>
      </c>
      <c r="B4" t="s">
        <v>13</v>
      </c>
      <c r="C4">
        <v>1.57</v>
      </c>
      <c r="E4" s="1">
        <v>45463</v>
      </c>
      <c r="F4" t="s">
        <v>13</v>
      </c>
      <c r="G4">
        <v>1.56</v>
      </c>
      <c r="I4" s="1">
        <v>45484</v>
      </c>
      <c r="J4" t="s">
        <v>13</v>
      </c>
      <c r="K4">
        <v>1.57</v>
      </c>
      <c r="M4">
        <v>1.57</v>
      </c>
      <c r="O4" t="s">
        <v>13</v>
      </c>
      <c r="P4" s="1">
        <v>45940</v>
      </c>
      <c r="Q4">
        <v>1.58</v>
      </c>
    </row>
    <row r="5" spans="1:17" x14ac:dyDescent="0.75">
      <c r="A5" s="1">
        <v>45442</v>
      </c>
      <c r="B5" t="s">
        <v>14</v>
      </c>
      <c r="C5">
        <v>1.0900000000000001</v>
      </c>
      <c r="E5" s="1">
        <v>45463</v>
      </c>
      <c r="F5" t="s">
        <v>14</v>
      </c>
      <c r="G5">
        <v>1.31</v>
      </c>
      <c r="I5" s="1">
        <v>45484</v>
      </c>
      <c r="J5" t="s">
        <v>14</v>
      </c>
      <c r="O5" t="s">
        <v>14</v>
      </c>
      <c r="P5" s="1">
        <v>45940</v>
      </c>
      <c r="Q5">
        <v>1.05</v>
      </c>
    </row>
    <row r="6" spans="1:17" x14ac:dyDescent="0.75">
      <c r="A6" s="1">
        <v>45442</v>
      </c>
      <c r="B6" t="s">
        <v>15</v>
      </c>
      <c r="C6">
        <v>1.34</v>
      </c>
      <c r="E6" s="1">
        <v>45463</v>
      </c>
      <c r="F6" t="s">
        <v>15</v>
      </c>
      <c r="G6">
        <v>1.34</v>
      </c>
      <c r="I6" s="1">
        <v>45484</v>
      </c>
      <c r="J6" t="s">
        <v>15</v>
      </c>
      <c r="K6">
        <v>1.34</v>
      </c>
      <c r="M6">
        <v>1.34</v>
      </c>
      <c r="O6" t="s">
        <v>15</v>
      </c>
      <c r="P6" s="1">
        <v>45940</v>
      </c>
      <c r="Q6">
        <v>1.34</v>
      </c>
    </row>
    <row r="7" spans="1:17" x14ac:dyDescent="0.75">
      <c r="A7" s="1">
        <v>45442</v>
      </c>
      <c r="B7" t="s">
        <v>16</v>
      </c>
      <c r="E7" s="1">
        <v>45463</v>
      </c>
      <c r="F7" t="s">
        <v>16</v>
      </c>
      <c r="G7">
        <v>3.26</v>
      </c>
      <c r="I7" s="1">
        <v>45484</v>
      </c>
      <c r="J7" t="s">
        <v>16</v>
      </c>
      <c r="O7" t="s">
        <v>27</v>
      </c>
      <c r="P7" s="1">
        <v>45940</v>
      </c>
      <c r="Q7">
        <v>2.61</v>
      </c>
    </row>
    <row r="8" spans="1:17" x14ac:dyDescent="0.75">
      <c r="A8" s="1">
        <v>45442</v>
      </c>
      <c r="B8" t="s">
        <v>17</v>
      </c>
      <c r="C8">
        <v>1.1200000000000001</v>
      </c>
      <c r="E8" s="1">
        <v>45463</v>
      </c>
      <c r="F8" t="s">
        <v>17</v>
      </c>
      <c r="G8">
        <v>2.41</v>
      </c>
      <c r="I8" s="1">
        <v>45484</v>
      </c>
      <c r="J8" t="s">
        <v>17</v>
      </c>
      <c r="K8">
        <v>0.42399999999999999</v>
      </c>
      <c r="O8" t="s">
        <v>17</v>
      </c>
      <c r="P8" s="1">
        <v>45940</v>
      </c>
      <c r="Q8">
        <v>2.41</v>
      </c>
    </row>
    <row r="9" spans="1:17" x14ac:dyDescent="0.75">
      <c r="A9" s="1">
        <v>45442</v>
      </c>
      <c r="B9" t="s">
        <v>18</v>
      </c>
      <c r="C9">
        <v>0.75</v>
      </c>
      <c r="E9" s="1">
        <v>45463</v>
      </c>
      <c r="F9" t="s">
        <v>18</v>
      </c>
      <c r="G9">
        <v>3.1</v>
      </c>
      <c r="I9" s="1">
        <v>45484</v>
      </c>
      <c r="J9" t="s">
        <v>18</v>
      </c>
      <c r="K9">
        <v>3.12</v>
      </c>
      <c r="M9">
        <v>3.12</v>
      </c>
      <c r="O9" t="s">
        <v>18</v>
      </c>
      <c r="P9" s="1">
        <v>45940</v>
      </c>
      <c r="Q9">
        <v>3.12</v>
      </c>
    </row>
    <row r="10" spans="1:17" x14ac:dyDescent="0.75">
      <c r="A10" s="1">
        <v>45442</v>
      </c>
      <c r="B10" t="s">
        <v>19</v>
      </c>
      <c r="C10">
        <v>1.96</v>
      </c>
      <c r="E10" s="1">
        <v>45463</v>
      </c>
      <c r="F10" t="s">
        <v>19</v>
      </c>
      <c r="G10">
        <v>2.74</v>
      </c>
      <c r="I10" s="1">
        <v>45484</v>
      </c>
      <c r="J10" t="s">
        <v>19</v>
      </c>
      <c r="K10">
        <v>2.17</v>
      </c>
      <c r="O10" t="s">
        <v>19</v>
      </c>
      <c r="P10" s="1">
        <v>45940</v>
      </c>
      <c r="Q10">
        <v>1.97</v>
      </c>
    </row>
    <row r="11" spans="1:17" x14ac:dyDescent="0.75">
      <c r="A11" s="1">
        <v>45442</v>
      </c>
      <c r="B11" t="s">
        <v>20</v>
      </c>
      <c r="C11">
        <v>0.72</v>
      </c>
      <c r="E11" s="1">
        <v>45463</v>
      </c>
      <c r="F11" t="s">
        <v>20</v>
      </c>
      <c r="G11">
        <v>2.09</v>
      </c>
      <c r="I11" s="1">
        <v>45484</v>
      </c>
      <c r="J11" t="s">
        <v>20</v>
      </c>
      <c r="K11">
        <v>3.6</v>
      </c>
      <c r="O11" t="s">
        <v>20</v>
      </c>
      <c r="P11" s="1">
        <v>45940</v>
      </c>
      <c r="Q11">
        <v>3.04</v>
      </c>
    </row>
    <row r="12" spans="1:17" x14ac:dyDescent="0.75">
      <c r="A12" s="1">
        <v>45442</v>
      </c>
      <c r="B12" t="s">
        <v>21</v>
      </c>
      <c r="C12">
        <v>2.56</v>
      </c>
      <c r="E12" s="1">
        <v>45463</v>
      </c>
      <c r="F12" t="s">
        <v>21</v>
      </c>
      <c r="G12">
        <v>4.25</v>
      </c>
      <c r="I12" s="1">
        <v>45484</v>
      </c>
      <c r="J12" t="s">
        <v>21</v>
      </c>
      <c r="K12">
        <v>4.4249999999999998</v>
      </c>
      <c r="M12">
        <v>4.4249999999999998</v>
      </c>
      <c r="O12" t="s">
        <v>21</v>
      </c>
      <c r="P12" s="1">
        <v>45940</v>
      </c>
      <c r="Q12">
        <v>3.31</v>
      </c>
    </row>
    <row r="13" spans="1:17" x14ac:dyDescent="0.75">
      <c r="A13" s="1">
        <v>45442</v>
      </c>
      <c r="B13" t="s">
        <v>22</v>
      </c>
      <c r="C13">
        <v>1.1299999999999999</v>
      </c>
      <c r="E13" s="1">
        <v>45463</v>
      </c>
      <c r="F13" t="s">
        <v>22</v>
      </c>
      <c r="G13">
        <v>1.71</v>
      </c>
      <c r="I13" s="1">
        <v>45484</v>
      </c>
      <c r="J13" t="s">
        <v>22</v>
      </c>
      <c r="K13">
        <v>1.1299999999999999</v>
      </c>
      <c r="M13">
        <v>1.1299999999999999</v>
      </c>
      <c r="O13" t="s">
        <v>22</v>
      </c>
      <c r="P13" s="1">
        <v>45940</v>
      </c>
      <c r="Q13">
        <v>1.1399999999999999</v>
      </c>
    </row>
    <row r="14" spans="1:17" x14ac:dyDescent="0.75">
      <c r="A14" s="1">
        <v>45442</v>
      </c>
      <c r="B14" t="s">
        <v>23</v>
      </c>
      <c r="C14">
        <v>1.27</v>
      </c>
      <c r="E14" s="1">
        <v>45463</v>
      </c>
      <c r="F14" t="s">
        <v>23</v>
      </c>
      <c r="G14">
        <v>2.48</v>
      </c>
      <c r="I14" s="1">
        <v>45484</v>
      </c>
      <c r="J14" t="s">
        <v>23</v>
      </c>
      <c r="K14">
        <v>2.25</v>
      </c>
      <c r="O14" t="s">
        <v>23</v>
      </c>
      <c r="P14" s="1">
        <v>45940</v>
      </c>
      <c r="Q14">
        <v>1.77</v>
      </c>
    </row>
    <row r="15" spans="1:17" x14ac:dyDescent="0.75">
      <c r="A15" s="1">
        <v>45442</v>
      </c>
      <c r="B15" t="s">
        <v>24</v>
      </c>
      <c r="C15">
        <v>0.97</v>
      </c>
      <c r="E15" s="1">
        <v>45463</v>
      </c>
      <c r="F15" t="s">
        <v>24</v>
      </c>
      <c r="G15">
        <v>2.1800000000000002</v>
      </c>
      <c r="I15" s="1">
        <v>45484</v>
      </c>
      <c r="J15" t="s">
        <v>24</v>
      </c>
      <c r="K15">
        <v>2.4649999999999999</v>
      </c>
      <c r="O15" t="s">
        <v>24</v>
      </c>
      <c r="P15" s="1">
        <v>45940</v>
      </c>
      <c r="Q15">
        <v>1.08</v>
      </c>
    </row>
    <row r="16" spans="1:17" x14ac:dyDescent="0.75">
      <c r="A16" s="1">
        <v>45442</v>
      </c>
      <c r="B16" t="s">
        <v>25</v>
      </c>
      <c r="C16">
        <v>1.59</v>
      </c>
      <c r="E16" s="1">
        <v>45463</v>
      </c>
      <c r="F16" t="s">
        <v>25</v>
      </c>
      <c r="G16">
        <v>2.35</v>
      </c>
      <c r="I16" s="1">
        <v>45484</v>
      </c>
      <c r="J16" t="s">
        <v>25</v>
      </c>
      <c r="K16">
        <v>1.56</v>
      </c>
      <c r="M16">
        <f>AVERAGE(C16,K16)</f>
        <v>1.5750000000000002</v>
      </c>
      <c r="O16" t="s">
        <v>25</v>
      </c>
      <c r="P16" s="1">
        <v>45940</v>
      </c>
      <c r="Q16">
        <v>1.58</v>
      </c>
    </row>
    <row r="17" spans="15:17" x14ac:dyDescent="0.75">
      <c r="O17" t="s">
        <v>29</v>
      </c>
      <c r="P17" s="1">
        <v>45940</v>
      </c>
      <c r="Q17">
        <v>1.9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E44FE-5111-4C27-A5EF-FDC66449A7D3}">
  <dimension ref="A1:C17"/>
  <sheetViews>
    <sheetView workbookViewId="0">
      <selection activeCell="C4" sqref="C4"/>
    </sheetView>
  </sheetViews>
  <sheetFormatPr defaultRowHeight="14.75" x14ac:dyDescent="0.75"/>
  <cols>
    <col min="1" max="1" width="10" bestFit="1" customWidth="1"/>
  </cols>
  <sheetData>
    <row r="1" spans="1:3" x14ac:dyDescent="0.75">
      <c r="A1" s="1">
        <v>45940</v>
      </c>
      <c r="B1" t="s">
        <v>2</v>
      </c>
      <c r="C1">
        <v>121.5</v>
      </c>
    </row>
    <row r="2" spans="1:3" x14ac:dyDescent="0.75">
      <c r="A2" s="1">
        <v>45940</v>
      </c>
      <c r="B2" t="s">
        <v>11</v>
      </c>
      <c r="C2">
        <v>143.19999999999999</v>
      </c>
    </row>
    <row r="3" spans="1:3" x14ac:dyDescent="0.75">
      <c r="A3" s="1">
        <v>45940</v>
      </c>
      <c r="B3" t="s">
        <v>12</v>
      </c>
    </row>
    <row r="4" spans="1:3" x14ac:dyDescent="0.75">
      <c r="A4" s="1">
        <v>45940</v>
      </c>
      <c r="B4" t="s">
        <v>13</v>
      </c>
      <c r="C4">
        <v>95</v>
      </c>
    </row>
    <row r="5" spans="1:3" x14ac:dyDescent="0.75">
      <c r="A5" s="1">
        <v>45940</v>
      </c>
      <c r="B5" t="s">
        <v>14</v>
      </c>
      <c r="C5">
        <v>80</v>
      </c>
    </row>
    <row r="6" spans="1:3" x14ac:dyDescent="0.75">
      <c r="A6" s="1">
        <v>45940</v>
      </c>
      <c r="B6" t="s">
        <v>15</v>
      </c>
      <c r="C6">
        <v>79</v>
      </c>
    </row>
    <row r="7" spans="1:3" x14ac:dyDescent="0.75">
      <c r="A7" s="1">
        <v>45940</v>
      </c>
      <c r="B7" t="s">
        <v>27</v>
      </c>
    </row>
    <row r="8" spans="1:3" x14ac:dyDescent="0.75">
      <c r="A8" s="1">
        <v>45940</v>
      </c>
      <c r="B8" t="s">
        <v>17</v>
      </c>
    </row>
    <row r="9" spans="1:3" x14ac:dyDescent="0.75">
      <c r="A9" s="1">
        <v>45940</v>
      </c>
      <c r="B9" t="s">
        <v>18</v>
      </c>
    </row>
    <row r="10" spans="1:3" x14ac:dyDescent="0.75">
      <c r="A10" s="1">
        <v>45940</v>
      </c>
      <c r="B10" t="s">
        <v>19</v>
      </c>
      <c r="C10">
        <v>87</v>
      </c>
    </row>
    <row r="11" spans="1:3" x14ac:dyDescent="0.75">
      <c r="A11" s="1">
        <v>45940</v>
      </c>
      <c r="B11" t="s">
        <v>20</v>
      </c>
    </row>
    <row r="12" spans="1:3" x14ac:dyDescent="0.75">
      <c r="A12" s="1">
        <v>45940</v>
      </c>
      <c r="B12" t="s">
        <v>21</v>
      </c>
      <c r="C12">
        <v>111</v>
      </c>
    </row>
    <row r="13" spans="1:3" x14ac:dyDescent="0.75">
      <c r="A13" s="1">
        <v>45940</v>
      </c>
      <c r="B13" t="s">
        <v>22</v>
      </c>
      <c r="C13">
        <v>90</v>
      </c>
    </row>
    <row r="14" spans="1:3" x14ac:dyDescent="0.75">
      <c r="A14" s="1">
        <v>45940</v>
      </c>
      <c r="B14" t="s">
        <v>23</v>
      </c>
      <c r="C14">
        <v>74</v>
      </c>
    </row>
    <row r="15" spans="1:3" x14ac:dyDescent="0.75">
      <c r="A15" s="1">
        <v>45940</v>
      </c>
      <c r="B15" t="s">
        <v>24</v>
      </c>
      <c r="C15">
        <v>74</v>
      </c>
    </row>
    <row r="16" spans="1:3" x14ac:dyDescent="0.75">
      <c r="A16" s="1">
        <v>45940</v>
      </c>
      <c r="B16" t="s">
        <v>25</v>
      </c>
      <c r="C16">
        <v>110</v>
      </c>
    </row>
    <row r="17" spans="1:3" x14ac:dyDescent="0.75">
      <c r="A17" s="1">
        <v>45940</v>
      </c>
      <c r="B17" t="s">
        <v>29</v>
      </c>
      <c r="C17">
        <v>72.5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9B03-BE4F-4A17-B12B-23A1FE1DCC14}">
  <dimension ref="A1:V36"/>
  <sheetViews>
    <sheetView topLeftCell="I1" workbookViewId="0">
      <selection activeCell="J17" sqref="J17:V17"/>
    </sheetView>
  </sheetViews>
  <sheetFormatPr defaultRowHeight="14.75" x14ac:dyDescent="0.75"/>
  <cols>
    <col min="14" max="14" width="9.1328125" style="5"/>
    <col min="21" max="21" width="10" style="1" bestFit="1" customWidth="1"/>
  </cols>
  <sheetData>
    <row r="1" spans="1:22" x14ac:dyDescent="0.75">
      <c r="A1" s="1">
        <v>45635</v>
      </c>
      <c r="B1" t="s">
        <v>2</v>
      </c>
      <c r="C1" s="4">
        <v>0.44</v>
      </c>
      <c r="E1" s="1">
        <v>45667</v>
      </c>
      <c r="F1" t="s">
        <v>2</v>
      </c>
      <c r="G1" s="4">
        <v>0.44</v>
      </c>
      <c r="I1" s="1">
        <v>45502</v>
      </c>
      <c r="J1" t="s">
        <v>2</v>
      </c>
      <c r="K1" s="4"/>
      <c r="M1" s="1">
        <v>45764</v>
      </c>
      <c r="N1" t="s">
        <v>2</v>
      </c>
      <c r="O1" s="4">
        <v>1.2</v>
      </c>
      <c r="P1" s="4"/>
      <c r="Q1" s="1">
        <v>45940</v>
      </c>
      <c r="R1" t="s">
        <v>2</v>
      </c>
      <c r="S1">
        <v>43.7</v>
      </c>
      <c r="T1">
        <f>S1/100</f>
        <v>0.43700000000000006</v>
      </c>
      <c r="U1"/>
      <c r="V1">
        <v>0.44</v>
      </c>
    </row>
    <row r="2" spans="1:22" x14ac:dyDescent="0.75">
      <c r="A2" s="1">
        <v>45635</v>
      </c>
      <c r="B2" t="s">
        <v>11</v>
      </c>
      <c r="C2" s="4">
        <v>0.39</v>
      </c>
      <c r="E2" s="1">
        <v>45667</v>
      </c>
      <c r="F2" t="s">
        <v>11</v>
      </c>
      <c r="G2" s="4">
        <v>0.39</v>
      </c>
      <c r="I2" s="1">
        <v>45502</v>
      </c>
      <c r="J2" t="s">
        <v>11</v>
      </c>
      <c r="K2" s="4">
        <v>0.42</v>
      </c>
      <c r="M2" s="1">
        <v>45764</v>
      </c>
      <c r="N2" t="s">
        <v>11</v>
      </c>
      <c r="O2" s="4">
        <v>0.41</v>
      </c>
      <c r="P2" s="4"/>
      <c r="Q2" s="1">
        <v>45940</v>
      </c>
      <c r="R2" t="s">
        <v>11</v>
      </c>
      <c r="S2">
        <v>41.5</v>
      </c>
      <c r="T2">
        <f t="shared" ref="T2:T18" si="0">S2/100</f>
        <v>0.41499999999999998</v>
      </c>
      <c r="U2"/>
      <c r="V2">
        <v>0.41499999999999998</v>
      </c>
    </row>
    <row r="3" spans="1:22" x14ac:dyDescent="0.75">
      <c r="A3" s="1">
        <v>45635</v>
      </c>
      <c r="B3" t="s">
        <v>12</v>
      </c>
      <c r="C3" s="4">
        <v>0.6</v>
      </c>
      <c r="E3" s="1">
        <v>45667</v>
      </c>
      <c r="F3" t="s">
        <v>12</v>
      </c>
      <c r="G3" s="4">
        <v>0.75</v>
      </c>
      <c r="I3" s="1">
        <v>45502</v>
      </c>
      <c r="J3" t="s">
        <v>12</v>
      </c>
      <c r="K3" s="4">
        <v>0.755</v>
      </c>
      <c r="M3" s="1">
        <v>45764</v>
      </c>
      <c r="N3" t="s">
        <v>12</v>
      </c>
      <c r="O3" s="4">
        <v>0.73499999999999999</v>
      </c>
      <c r="P3" s="4"/>
      <c r="Q3" s="1">
        <v>45940</v>
      </c>
      <c r="R3" t="s">
        <v>12</v>
      </c>
      <c r="S3">
        <v>79</v>
      </c>
      <c r="T3">
        <f t="shared" si="0"/>
        <v>0.79</v>
      </c>
      <c r="U3"/>
      <c r="V3">
        <v>0.755</v>
      </c>
    </row>
    <row r="4" spans="1:22" x14ac:dyDescent="0.75">
      <c r="A4" s="1">
        <v>45635</v>
      </c>
      <c r="B4" t="s">
        <v>13</v>
      </c>
      <c r="C4" s="4">
        <v>0.24</v>
      </c>
      <c r="E4" s="1">
        <v>45667</v>
      </c>
      <c r="F4" t="s">
        <v>13</v>
      </c>
      <c r="G4" s="4">
        <v>0.21</v>
      </c>
      <c r="I4" s="1">
        <v>45502</v>
      </c>
      <c r="J4" t="s">
        <v>13</v>
      </c>
      <c r="K4" s="4">
        <v>0.23899999999999999</v>
      </c>
      <c r="M4" s="1">
        <v>45764</v>
      </c>
      <c r="N4" t="s">
        <v>13</v>
      </c>
      <c r="O4" s="4">
        <v>0.22</v>
      </c>
      <c r="P4" s="4"/>
      <c r="Q4" s="1">
        <v>45940</v>
      </c>
      <c r="R4" t="s">
        <v>13</v>
      </c>
      <c r="S4">
        <v>26</v>
      </c>
      <c r="T4">
        <f t="shared" si="0"/>
        <v>0.26</v>
      </c>
      <c r="U4"/>
      <c r="V4">
        <v>0.24</v>
      </c>
    </row>
    <row r="5" spans="1:22" x14ac:dyDescent="0.75">
      <c r="A5" s="1">
        <v>45635</v>
      </c>
      <c r="B5" t="s">
        <v>14</v>
      </c>
      <c r="C5" s="4">
        <v>0.11</v>
      </c>
      <c r="E5" s="1">
        <v>45667</v>
      </c>
      <c r="F5" t="s">
        <v>14</v>
      </c>
      <c r="G5" s="4">
        <v>0.09</v>
      </c>
      <c r="I5" s="1">
        <v>45502</v>
      </c>
      <c r="J5" t="s">
        <v>14</v>
      </c>
      <c r="K5" s="4">
        <v>0.75</v>
      </c>
      <c r="M5" s="1">
        <v>45764</v>
      </c>
      <c r="N5" t="s">
        <v>14</v>
      </c>
      <c r="O5" s="4">
        <v>0.09</v>
      </c>
      <c r="P5" s="4"/>
      <c r="Q5" s="1">
        <v>45940</v>
      </c>
      <c r="R5" t="s">
        <v>14</v>
      </c>
      <c r="S5">
        <v>10</v>
      </c>
      <c r="T5">
        <f t="shared" si="0"/>
        <v>0.1</v>
      </c>
      <c r="U5"/>
      <c r="V5">
        <v>0.09</v>
      </c>
    </row>
    <row r="6" spans="1:22" x14ac:dyDescent="0.75">
      <c r="A6" s="1">
        <v>45635</v>
      </c>
      <c r="B6" t="s">
        <v>15</v>
      </c>
      <c r="C6" s="4">
        <v>0.74</v>
      </c>
      <c r="E6" s="1">
        <v>45667</v>
      </c>
      <c r="F6" t="s">
        <v>15</v>
      </c>
      <c r="G6" s="4">
        <v>0.04</v>
      </c>
      <c r="I6" s="1">
        <v>45502</v>
      </c>
      <c r="J6" t="s">
        <v>15</v>
      </c>
      <c r="K6" s="4">
        <v>7.0000000000000007E-2</v>
      </c>
      <c r="M6" s="1">
        <v>45764</v>
      </c>
      <c r="N6" t="s">
        <v>15</v>
      </c>
      <c r="O6" s="4">
        <v>6.5000000000000002E-2</v>
      </c>
      <c r="P6" s="4"/>
      <c r="Q6" s="1">
        <v>45940</v>
      </c>
      <c r="R6" t="s">
        <v>15</v>
      </c>
      <c r="S6">
        <v>8.5</v>
      </c>
      <c r="T6">
        <f t="shared" si="0"/>
        <v>8.5000000000000006E-2</v>
      </c>
      <c r="U6"/>
      <c r="V6">
        <v>8.5000000000000006E-2</v>
      </c>
    </row>
    <row r="7" spans="1:22" x14ac:dyDescent="0.75">
      <c r="A7" s="1">
        <v>45635</v>
      </c>
      <c r="B7" t="s">
        <v>16</v>
      </c>
      <c r="C7" s="4">
        <v>1.73</v>
      </c>
      <c r="E7" s="1">
        <v>45667</v>
      </c>
      <c r="F7" t="s">
        <v>16</v>
      </c>
      <c r="G7" s="4"/>
      <c r="I7" s="1"/>
      <c r="K7" s="4"/>
      <c r="M7" s="1">
        <v>45764</v>
      </c>
      <c r="N7" t="s">
        <v>16</v>
      </c>
      <c r="O7" s="4"/>
      <c r="P7" s="4"/>
      <c r="Q7" s="1">
        <v>45940</v>
      </c>
      <c r="R7" t="s">
        <v>16</v>
      </c>
      <c r="T7">
        <f t="shared" si="0"/>
        <v>0</v>
      </c>
      <c r="U7"/>
    </row>
    <row r="8" spans="1:22" x14ac:dyDescent="0.75">
      <c r="A8" s="1">
        <v>45635</v>
      </c>
      <c r="B8" t="s">
        <v>27</v>
      </c>
      <c r="C8" s="4">
        <v>0.81</v>
      </c>
      <c r="E8" s="1">
        <v>45667</v>
      </c>
      <c r="F8" t="s">
        <v>27</v>
      </c>
      <c r="G8" s="4">
        <v>0.83</v>
      </c>
      <c r="I8" s="1"/>
      <c r="K8" s="4"/>
      <c r="M8" s="1">
        <v>45764</v>
      </c>
      <c r="N8" t="s">
        <v>27</v>
      </c>
      <c r="O8" s="4">
        <v>0.82</v>
      </c>
      <c r="P8" s="4"/>
      <c r="Q8" s="1">
        <v>45940</v>
      </c>
      <c r="R8" t="s">
        <v>27</v>
      </c>
      <c r="S8">
        <v>102</v>
      </c>
      <c r="T8">
        <f t="shared" si="0"/>
        <v>1.02</v>
      </c>
      <c r="U8"/>
      <c r="V8">
        <v>0.83</v>
      </c>
    </row>
    <row r="9" spans="1:22" x14ac:dyDescent="0.75">
      <c r="A9" s="1">
        <v>45635</v>
      </c>
      <c r="B9" t="s">
        <v>17</v>
      </c>
      <c r="C9" s="4">
        <v>0.15</v>
      </c>
      <c r="E9" s="1">
        <v>45667</v>
      </c>
      <c r="F9" t="s">
        <v>17</v>
      </c>
      <c r="G9" s="4">
        <v>0.14000000000000001</v>
      </c>
      <c r="I9" s="1">
        <v>45502</v>
      </c>
      <c r="J9" t="s">
        <v>17</v>
      </c>
      <c r="K9" s="4">
        <v>7.8E-2</v>
      </c>
      <c r="M9" s="1">
        <v>45764</v>
      </c>
      <c r="N9" t="s">
        <v>17</v>
      </c>
      <c r="O9" s="4">
        <v>0.16</v>
      </c>
      <c r="P9" s="4"/>
      <c r="Q9" s="1">
        <v>45940</v>
      </c>
      <c r="R9" t="s">
        <v>17</v>
      </c>
      <c r="S9">
        <v>17.5</v>
      </c>
      <c r="T9">
        <f t="shared" si="0"/>
        <v>0.17499999999999999</v>
      </c>
      <c r="U9"/>
      <c r="V9">
        <v>0.16</v>
      </c>
    </row>
    <row r="10" spans="1:22" x14ac:dyDescent="0.75">
      <c r="A10" s="1">
        <v>45635</v>
      </c>
      <c r="B10" t="s">
        <v>18</v>
      </c>
      <c r="C10" s="4">
        <v>0.8</v>
      </c>
      <c r="E10" s="1">
        <v>45667</v>
      </c>
      <c r="F10" t="s">
        <v>18</v>
      </c>
      <c r="G10" s="4">
        <v>0.79</v>
      </c>
      <c r="I10" s="1">
        <v>45502</v>
      </c>
      <c r="J10" t="s">
        <v>18</v>
      </c>
      <c r="K10" s="4">
        <v>0.84</v>
      </c>
      <c r="M10" s="1">
        <v>45764</v>
      </c>
      <c r="N10" t="s">
        <v>18</v>
      </c>
      <c r="O10" s="4">
        <v>0.76</v>
      </c>
      <c r="P10" s="4"/>
      <c r="Q10" s="1">
        <v>45940</v>
      </c>
      <c r="R10" t="s">
        <v>18</v>
      </c>
      <c r="S10">
        <v>89</v>
      </c>
      <c r="T10">
        <f t="shared" si="0"/>
        <v>0.89</v>
      </c>
      <c r="U10"/>
      <c r="V10">
        <v>0.89</v>
      </c>
    </row>
    <row r="11" spans="1:22" x14ac:dyDescent="0.75">
      <c r="A11" s="1">
        <v>45635</v>
      </c>
      <c r="B11" t="s">
        <v>19</v>
      </c>
      <c r="C11" s="4">
        <v>0.02</v>
      </c>
      <c r="E11" s="1">
        <v>45667</v>
      </c>
      <c r="F11" t="s">
        <v>19</v>
      </c>
      <c r="G11" s="4">
        <v>0.02</v>
      </c>
      <c r="I11" s="1">
        <v>45502</v>
      </c>
      <c r="J11" t="s">
        <v>19</v>
      </c>
      <c r="K11" s="4">
        <v>0</v>
      </c>
      <c r="M11" s="1">
        <v>45764</v>
      </c>
      <c r="N11" t="s">
        <v>19</v>
      </c>
      <c r="O11" s="4">
        <v>0.04</v>
      </c>
      <c r="P11" s="4"/>
      <c r="Q11" s="1">
        <v>45940</v>
      </c>
      <c r="R11" t="s">
        <v>19</v>
      </c>
      <c r="S11">
        <v>7</v>
      </c>
      <c r="T11">
        <f t="shared" si="0"/>
        <v>7.0000000000000007E-2</v>
      </c>
      <c r="U11"/>
      <c r="V11">
        <v>0.04</v>
      </c>
    </row>
    <row r="12" spans="1:22" x14ac:dyDescent="0.75">
      <c r="A12" s="1">
        <v>45635</v>
      </c>
      <c r="B12" t="s">
        <v>20</v>
      </c>
      <c r="C12" s="4">
        <v>0.2</v>
      </c>
      <c r="E12" s="1">
        <v>45667</v>
      </c>
      <c r="F12" t="s">
        <v>20</v>
      </c>
      <c r="G12" s="4">
        <v>0.2</v>
      </c>
      <c r="I12" s="1">
        <v>45502</v>
      </c>
      <c r="J12" t="s">
        <v>20</v>
      </c>
      <c r="K12" s="4">
        <v>0.81</v>
      </c>
      <c r="M12" s="1">
        <v>45764</v>
      </c>
      <c r="N12" t="s">
        <v>20</v>
      </c>
      <c r="O12" s="4">
        <v>0.19500000000000001</v>
      </c>
      <c r="P12" s="4"/>
      <c r="Q12" s="1">
        <v>45940</v>
      </c>
      <c r="R12" t="s">
        <v>20</v>
      </c>
      <c r="S12">
        <v>21</v>
      </c>
      <c r="T12">
        <f t="shared" si="0"/>
        <v>0.21</v>
      </c>
      <c r="U12"/>
      <c r="V12">
        <v>0.25</v>
      </c>
    </row>
    <row r="13" spans="1:22" x14ac:dyDescent="0.75">
      <c r="A13" s="1">
        <v>45635</v>
      </c>
      <c r="B13" t="s">
        <v>21</v>
      </c>
      <c r="C13" s="4">
        <v>1</v>
      </c>
      <c r="E13" s="1">
        <v>45667</v>
      </c>
      <c r="F13" t="s">
        <v>21</v>
      </c>
      <c r="I13" s="1">
        <v>45502</v>
      </c>
      <c r="J13" t="s">
        <v>21</v>
      </c>
      <c r="K13" s="4">
        <v>1</v>
      </c>
      <c r="M13" s="1">
        <v>45764</v>
      </c>
      <c r="N13" t="s">
        <v>21</v>
      </c>
      <c r="O13" s="4">
        <v>0.08</v>
      </c>
      <c r="P13" s="4"/>
      <c r="Q13" s="1">
        <v>45940</v>
      </c>
      <c r="R13" t="s">
        <v>21</v>
      </c>
      <c r="S13">
        <v>12</v>
      </c>
      <c r="T13">
        <f t="shared" si="0"/>
        <v>0.12</v>
      </c>
      <c r="U13"/>
      <c r="V13">
        <v>0.12</v>
      </c>
    </row>
    <row r="14" spans="1:22" x14ac:dyDescent="0.75">
      <c r="A14" s="1">
        <v>45635</v>
      </c>
      <c r="B14" t="s">
        <v>22</v>
      </c>
      <c r="C14" s="4">
        <v>0.23</v>
      </c>
      <c r="E14" s="1">
        <v>45667</v>
      </c>
      <c r="F14" t="s">
        <v>22</v>
      </c>
      <c r="G14" s="4">
        <v>0.27</v>
      </c>
      <c r="I14" s="1">
        <v>45502</v>
      </c>
      <c r="J14" t="s">
        <v>22</v>
      </c>
      <c r="K14" s="4">
        <v>0.245</v>
      </c>
      <c r="M14" s="1">
        <v>45764</v>
      </c>
      <c r="N14" t="s">
        <v>22</v>
      </c>
      <c r="O14" s="4">
        <v>0.215</v>
      </c>
      <c r="P14" s="4"/>
      <c r="Q14" s="1">
        <v>45940</v>
      </c>
      <c r="R14" t="s">
        <v>22</v>
      </c>
      <c r="S14">
        <v>26</v>
      </c>
      <c r="T14">
        <f t="shared" si="0"/>
        <v>0.26</v>
      </c>
      <c r="U14"/>
      <c r="V14">
        <v>0.26</v>
      </c>
    </row>
    <row r="15" spans="1:22" x14ac:dyDescent="0.75">
      <c r="A15" s="1">
        <v>45635</v>
      </c>
      <c r="B15" t="s">
        <v>23</v>
      </c>
      <c r="C15" s="4">
        <v>0</v>
      </c>
      <c r="E15" s="1">
        <v>45667</v>
      </c>
      <c r="F15" t="s">
        <v>23</v>
      </c>
      <c r="G15" s="4">
        <v>0</v>
      </c>
      <c r="I15" s="1">
        <v>45502</v>
      </c>
      <c r="J15" t="s">
        <v>23</v>
      </c>
      <c r="K15" s="4">
        <v>0</v>
      </c>
      <c r="M15" s="1">
        <v>45764</v>
      </c>
      <c r="N15" t="s">
        <v>23</v>
      </c>
      <c r="O15" s="4">
        <v>0</v>
      </c>
      <c r="P15" s="4"/>
      <c r="Q15" s="1">
        <v>45940</v>
      </c>
      <c r="R15" t="s">
        <v>23</v>
      </c>
      <c r="S15">
        <v>0</v>
      </c>
      <c r="T15">
        <f t="shared" si="0"/>
        <v>0</v>
      </c>
      <c r="U15"/>
      <c r="V15">
        <v>0</v>
      </c>
    </row>
    <row r="16" spans="1:22" x14ac:dyDescent="0.75">
      <c r="A16" s="1">
        <v>45635</v>
      </c>
      <c r="B16" t="s">
        <v>24</v>
      </c>
      <c r="C16" s="4">
        <v>0.68</v>
      </c>
      <c r="E16" s="1">
        <v>45667</v>
      </c>
      <c r="F16" t="s">
        <v>24</v>
      </c>
      <c r="G16" s="4">
        <v>0</v>
      </c>
      <c r="I16" s="1">
        <v>45502</v>
      </c>
      <c r="J16" t="s">
        <v>24</v>
      </c>
      <c r="K16" s="4">
        <v>0</v>
      </c>
      <c r="M16" s="1">
        <v>45764</v>
      </c>
      <c r="N16" t="s">
        <v>24</v>
      </c>
      <c r="O16" s="4">
        <v>0</v>
      </c>
      <c r="P16" s="4"/>
      <c r="Q16" s="1">
        <v>45940</v>
      </c>
      <c r="R16" t="s">
        <v>24</v>
      </c>
      <c r="S16">
        <v>0</v>
      </c>
      <c r="T16">
        <f t="shared" si="0"/>
        <v>0</v>
      </c>
      <c r="U16"/>
      <c r="V16">
        <v>0</v>
      </c>
    </row>
    <row r="17" spans="1:22" x14ac:dyDescent="0.75">
      <c r="A17" s="1">
        <v>45635</v>
      </c>
      <c r="B17" t="s">
        <v>25</v>
      </c>
      <c r="C17" s="4">
        <v>0.3</v>
      </c>
      <c r="E17" s="1">
        <v>45667</v>
      </c>
      <c r="F17" t="s">
        <v>25</v>
      </c>
      <c r="G17" s="4">
        <v>0.31</v>
      </c>
      <c r="I17" s="1">
        <v>45502</v>
      </c>
      <c r="J17" t="s">
        <v>25</v>
      </c>
      <c r="K17" s="3">
        <v>0.34499999999999997</v>
      </c>
      <c r="M17" s="1">
        <v>45764</v>
      </c>
      <c r="N17" t="s">
        <v>25</v>
      </c>
      <c r="O17" s="4">
        <v>0.33500000000000002</v>
      </c>
      <c r="P17" s="4"/>
      <c r="Q17" s="1">
        <v>45940</v>
      </c>
      <c r="R17" t="s">
        <v>25</v>
      </c>
      <c r="S17">
        <v>33</v>
      </c>
      <c r="T17">
        <f t="shared" si="0"/>
        <v>0.33</v>
      </c>
      <c r="U17"/>
      <c r="V17">
        <v>0.33</v>
      </c>
    </row>
    <row r="18" spans="1:22" x14ac:dyDescent="0.75">
      <c r="A18" s="1">
        <v>45635</v>
      </c>
      <c r="B18" t="s">
        <v>29</v>
      </c>
      <c r="C18" s="4">
        <v>0.69</v>
      </c>
      <c r="E18" s="1">
        <v>45667</v>
      </c>
      <c r="F18" t="s">
        <v>29</v>
      </c>
      <c r="G18" s="4">
        <v>0.03</v>
      </c>
      <c r="M18" s="1">
        <v>45764</v>
      </c>
      <c r="N18" t="s">
        <v>29</v>
      </c>
      <c r="O18" s="4">
        <v>0.03</v>
      </c>
      <c r="P18" s="4"/>
      <c r="Q18" s="1">
        <v>45940</v>
      </c>
      <c r="R18" t="s">
        <v>29</v>
      </c>
      <c r="S18">
        <v>3</v>
      </c>
      <c r="T18">
        <f t="shared" si="0"/>
        <v>0.03</v>
      </c>
      <c r="U18"/>
      <c r="V18">
        <v>0.03</v>
      </c>
    </row>
    <row r="19" spans="1:22" x14ac:dyDescent="0.75">
      <c r="Q19" s="5"/>
    </row>
    <row r="20" spans="1:22" x14ac:dyDescent="0.75">
      <c r="Q20" s="5"/>
    </row>
    <row r="21" spans="1:22" x14ac:dyDescent="0.75">
      <c r="Q21" s="5"/>
    </row>
    <row r="22" spans="1:22" x14ac:dyDescent="0.75">
      <c r="Q22" s="5"/>
    </row>
    <row r="23" spans="1:22" x14ac:dyDescent="0.75">
      <c r="Q23" s="5"/>
    </row>
    <row r="24" spans="1:22" x14ac:dyDescent="0.75">
      <c r="Q24" s="5"/>
    </row>
    <row r="25" spans="1:22" x14ac:dyDescent="0.75">
      <c r="Q25" s="5"/>
    </row>
    <row r="26" spans="1:22" x14ac:dyDescent="0.75">
      <c r="Q26" s="5"/>
    </row>
    <row r="27" spans="1:22" x14ac:dyDescent="0.75">
      <c r="Q27" s="5"/>
    </row>
    <row r="28" spans="1:22" x14ac:dyDescent="0.75">
      <c r="Q28" s="5"/>
    </row>
    <row r="29" spans="1:22" x14ac:dyDescent="0.75">
      <c r="Q29" s="5"/>
    </row>
    <row r="30" spans="1:22" x14ac:dyDescent="0.75">
      <c r="Q30" s="5"/>
    </row>
    <row r="31" spans="1:22" x14ac:dyDescent="0.75">
      <c r="Q31" s="5"/>
    </row>
    <row r="32" spans="1:22" x14ac:dyDescent="0.75">
      <c r="Q32" s="5"/>
    </row>
    <row r="33" spans="17:17" x14ac:dyDescent="0.75">
      <c r="Q33" s="5"/>
    </row>
    <row r="34" spans="17:17" x14ac:dyDescent="0.75">
      <c r="Q34" s="5"/>
    </row>
    <row r="35" spans="17:17" x14ac:dyDescent="0.75">
      <c r="Q35" s="5"/>
    </row>
    <row r="36" spans="17:17" x14ac:dyDescent="0.75">
      <c r="Q36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402A7-5FED-4C94-AF89-3A3789BD6BB3}">
  <dimension ref="A1:F21"/>
  <sheetViews>
    <sheetView tabSelected="1" workbookViewId="0">
      <selection activeCell="I11" sqref="I11"/>
    </sheetView>
  </sheetViews>
  <sheetFormatPr defaultRowHeight="14.75" x14ac:dyDescent="0.75"/>
  <cols>
    <col min="3" max="3" width="14.1328125" bestFit="1" customWidth="1"/>
    <col min="4" max="4" width="10.7265625" bestFit="1" customWidth="1"/>
    <col min="5" max="5" width="11.7265625" bestFit="1" customWidth="1"/>
    <col min="6" max="6" width="12.26953125" bestFit="1" customWidth="1"/>
  </cols>
  <sheetData>
    <row r="1" spans="1:6" x14ac:dyDescent="0.75">
      <c r="A1" t="s">
        <v>1</v>
      </c>
      <c r="B1" t="s">
        <v>36</v>
      </c>
      <c r="C1" t="s">
        <v>47</v>
      </c>
      <c r="D1" t="s">
        <v>48</v>
      </c>
      <c r="E1" t="s">
        <v>49</v>
      </c>
      <c r="F1" t="s">
        <v>54</v>
      </c>
    </row>
    <row r="2" spans="1:6" x14ac:dyDescent="0.75">
      <c r="A2" t="s">
        <v>2</v>
      </c>
      <c r="B2">
        <v>5</v>
      </c>
      <c r="C2">
        <v>5.4</v>
      </c>
      <c r="D2">
        <v>4.34</v>
      </c>
      <c r="F2">
        <f>$D$9-D2</f>
        <v>1.8399999999999999</v>
      </c>
    </row>
    <row r="3" spans="1:6" x14ac:dyDescent="0.75">
      <c r="A3" t="s">
        <v>11</v>
      </c>
      <c r="B3">
        <v>5</v>
      </c>
      <c r="C3">
        <v>5.4</v>
      </c>
      <c r="D3">
        <v>5.24</v>
      </c>
      <c r="F3">
        <f>$D$9-D3</f>
        <v>0.9399999999999995</v>
      </c>
    </row>
    <row r="4" spans="1:6" x14ac:dyDescent="0.75">
      <c r="A4" t="s">
        <v>12</v>
      </c>
      <c r="B4">
        <v>5</v>
      </c>
      <c r="C4">
        <v>5.4</v>
      </c>
      <c r="D4">
        <v>5.8</v>
      </c>
      <c r="F4">
        <f t="shared" ref="F3:F9" si="0">$D$9-D4</f>
        <v>0.37999999999999989</v>
      </c>
    </row>
    <row r="5" spans="1:6" x14ac:dyDescent="0.75">
      <c r="A5" t="s">
        <v>13</v>
      </c>
      <c r="B5">
        <v>5</v>
      </c>
      <c r="C5">
        <v>5.4</v>
      </c>
      <c r="D5">
        <v>4.09</v>
      </c>
      <c r="F5">
        <f t="shared" si="0"/>
        <v>2.09</v>
      </c>
    </row>
    <row r="6" spans="1:6" x14ac:dyDescent="0.75">
      <c r="A6" t="s">
        <v>14</v>
      </c>
      <c r="B6">
        <v>5</v>
      </c>
      <c r="C6">
        <v>5.4</v>
      </c>
      <c r="D6">
        <v>6.04</v>
      </c>
      <c r="F6">
        <f t="shared" si="0"/>
        <v>0.13999999999999968</v>
      </c>
    </row>
    <row r="7" spans="1:6" x14ac:dyDescent="0.75">
      <c r="A7" t="s">
        <v>15</v>
      </c>
      <c r="B7">
        <v>5</v>
      </c>
      <c r="C7">
        <v>5.4</v>
      </c>
      <c r="D7">
        <v>3.71</v>
      </c>
      <c r="F7">
        <f t="shared" si="0"/>
        <v>2.4699999999999998</v>
      </c>
    </row>
    <row r="8" spans="1:6" x14ac:dyDescent="0.75">
      <c r="A8" t="s">
        <v>27</v>
      </c>
      <c r="B8">
        <v>5</v>
      </c>
      <c r="C8">
        <v>5.4</v>
      </c>
      <c r="D8">
        <v>3.41</v>
      </c>
      <c r="E8" t="s">
        <v>50</v>
      </c>
      <c r="F8">
        <f t="shared" si="0"/>
        <v>2.7699999999999996</v>
      </c>
    </row>
    <row r="9" spans="1:6" x14ac:dyDescent="0.75">
      <c r="A9" t="s">
        <v>51</v>
      </c>
      <c r="B9">
        <v>5</v>
      </c>
      <c r="C9">
        <v>5.4</v>
      </c>
      <c r="D9">
        <v>6.18</v>
      </c>
      <c r="F9">
        <f t="shared" si="0"/>
        <v>0</v>
      </c>
    </row>
    <row r="10" spans="1:6" x14ac:dyDescent="0.75">
      <c r="A10" t="s">
        <v>17</v>
      </c>
      <c r="B10">
        <v>6</v>
      </c>
      <c r="C10">
        <v>4.96</v>
      </c>
      <c r="D10">
        <v>4.22</v>
      </c>
      <c r="F10">
        <f t="shared" ref="F10:F14" si="1">$D$15-D10</f>
        <v>1.96</v>
      </c>
    </row>
    <row r="11" spans="1:6" x14ac:dyDescent="0.75">
      <c r="A11" t="s">
        <v>18</v>
      </c>
      <c r="B11">
        <v>6</v>
      </c>
      <c r="C11">
        <v>4.96</v>
      </c>
      <c r="D11">
        <v>4.9800000000000004</v>
      </c>
      <c r="F11">
        <f t="shared" si="1"/>
        <v>1.1999999999999993</v>
      </c>
    </row>
    <row r="12" spans="1:6" x14ac:dyDescent="0.75">
      <c r="A12" t="s">
        <v>19</v>
      </c>
      <c r="B12">
        <v>6</v>
      </c>
      <c r="C12">
        <v>4.96</v>
      </c>
      <c r="D12">
        <v>2.69</v>
      </c>
      <c r="F12">
        <f t="shared" si="1"/>
        <v>3.4899999999999998</v>
      </c>
    </row>
    <row r="13" spans="1:6" x14ac:dyDescent="0.75">
      <c r="A13" t="s">
        <v>20</v>
      </c>
      <c r="B13">
        <v>6</v>
      </c>
      <c r="C13">
        <v>4.96</v>
      </c>
      <c r="D13">
        <v>3.09</v>
      </c>
      <c r="F13">
        <f t="shared" si="1"/>
        <v>3.09</v>
      </c>
    </row>
    <row r="14" spans="1:6" x14ac:dyDescent="0.75">
      <c r="A14" t="s">
        <v>21</v>
      </c>
      <c r="B14">
        <v>6</v>
      </c>
      <c r="C14">
        <v>4.96</v>
      </c>
      <c r="D14">
        <v>1.9</v>
      </c>
      <c r="F14">
        <f t="shared" si="1"/>
        <v>4.2799999999999994</v>
      </c>
    </row>
    <row r="15" spans="1:6" x14ac:dyDescent="0.75">
      <c r="A15" t="s">
        <v>52</v>
      </c>
      <c r="B15">
        <v>6</v>
      </c>
      <c r="C15">
        <v>4.96</v>
      </c>
      <c r="D15">
        <v>6.18</v>
      </c>
      <c r="F15">
        <f>$D$15-D15</f>
        <v>0</v>
      </c>
    </row>
    <row r="16" spans="1:6" x14ac:dyDescent="0.75">
      <c r="A16" t="s">
        <v>22</v>
      </c>
      <c r="B16">
        <v>9</v>
      </c>
      <c r="D16">
        <f>AVERAGE(6.7,6.74)</f>
        <v>6.7200000000000006</v>
      </c>
      <c r="F16">
        <f t="shared" ref="F16:F19" si="2">$D$20-D16</f>
        <v>1.4399999999999995</v>
      </c>
    </row>
    <row r="17" spans="1:6" x14ac:dyDescent="0.75">
      <c r="A17" t="s">
        <v>23</v>
      </c>
      <c r="B17">
        <v>9</v>
      </c>
      <c r="D17">
        <f>AVERAGE(5.93,5.94)</f>
        <v>5.9350000000000005</v>
      </c>
      <c r="F17">
        <f t="shared" si="2"/>
        <v>2.2249999999999996</v>
      </c>
    </row>
    <row r="18" spans="1:6" x14ac:dyDescent="0.75">
      <c r="A18" t="s">
        <v>24</v>
      </c>
      <c r="B18">
        <v>9</v>
      </c>
      <c r="D18">
        <f>AVERAGE(6.15,6.1)</f>
        <v>6.125</v>
      </c>
      <c r="F18">
        <f t="shared" si="2"/>
        <v>2.0350000000000001</v>
      </c>
    </row>
    <row r="19" spans="1:6" x14ac:dyDescent="0.75">
      <c r="A19" t="s">
        <v>25</v>
      </c>
      <c r="B19">
        <v>9</v>
      </c>
      <c r="D19">
        <f>AVERAGE(5.74,5.65)</f>
        <v>5.6950000000000003</v>
      </c>
      <c r="F19">
        <f t="shared" si="2"/>
        <v>2.4649999999999999</v>
      </c>
    </row>
    <row r="20" spans="1:6" x14ac:dyDescent="0.75">
      <c r="A20" t="s">
        <v>53</v>
      </c>
      <c r="B20">
        <v>9</v>
      </c>
      <c r="D20">
        <f>7.66+0.5</f>
        <v>8.16</v>
      </c>
      <c r="F20">
        <f>$D$20-D20</f>
        <v>0</v>
      </c>
    </row>
    <row r="21" spans="1:6" x14ac:dyDescent="0.75">
      <c r="A21" t="s">
        <v>29</v>
      </c>
      <c r="B21">
        <v>9</v>
      </c>
      <c r="D21">
        <f>AVERAGE(5.74,5.66)</f>
        <v>5.7</v>
      </c>
      <c r="F21">
        <f>$D$20-D21</f>
        <v>2.46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6BC1-EA40-4831-89E2-8DEF82D847DC}">
  <dimension ref="A1:H9"/>
  <sheetViews>
    <sheetView workbookViewId="0">
      <selection activeCell="G14" sqref="G14"/>
    </sheetView>
  </sheetViews>
  <sheetFormatPr defaultRowHeight="14.75" x14ac:dyDescent="0.75"/>
  <sheetData>
    <row r="1" spans="1:8" x14ac:dyDescent="0.75">
      <c r="A1" t="s">
        <v>56</v>
      </c>
      <c r="B1" t="s">
        <v>57</v>
      </c>
      <c r="C1" t="s">
        <v>48</v>
      </c>
      <c r="D1" t="s">
        <v>54</v>
      </c>
      <c r="E1" t="s">
        <v>58</v>
      </c>
      <c r="F1" t="s">
        <v>59</v>
      </c>
      <c r="G1" t="s">
        <v>60</v>
      </c>
    </row>
    <row r="2" spans="1:8" x14ac:dyDescent="0.75">
      <c r="A2">
        <v>5</v>
      </c>
      <c r="B2">
        <v>4</v>
      </c>
      <c r="C2">
        <v>4.1399999999999997</v>
      </c>
      <c r="D2">
        <f>$C$3-C2</f>
        <v>4.2600000000000007</v>
      </c>
      <c r="E2">
        <v>5</v>
      </c>
      <c r="F2">
        <v>1</v>
      </c>
      <c r="G2">
        <v>3.94</v>
      </c>
      <c r="H2">
        <f>G2-$G$4</f>
        <v>0.69999999999999973</v>
      </c>
    </row>
    <row r="3" spans="1:8" x14ac:dyDescent="0.75">
      <c r="A3">
        <v>5</v>
      </c>
      <c r="B3">
        <v>0</v>
      </c>
      <c r="C3">
        <v>8.4</v>
      </c>
      <c r="D3">
        <f t="shared" ref="D3:D9" si="0">$C$3-C3</f>
        <v>0</v>
      </c>
      <c r="E3">
        <v>5</v>
      </c>
      <c r="F3">
        <v>2</v>
      </c>
      <c r="G3">
        <v>4.34</v>
      </c>
      <c r="H3">
        <f>G3-$G$4</f>
        <v>1.0999999999999996</v>
      </c>
    </row>
    <row r="4" spans="1:8" x14ac:dyDescent="0.75">
      <c r="A4">
        <v>5</v>
      </c>
      <c r="B4">
        <v>5</v>
      </c>
      <c r="C4">
        <v>6.58</v>
      </c>
      <c r="D4">
        <f t="shared" si="0"/>
        <v>1.8200000000000003</v>
      </c>
      <c r="E4">
        <v>5</v>
      </c>
      <c r="F4">
        <v>3</v>
      </c>
      <c r="G4">
        <v>3.24</v>
      </c>
      <c r="H4">
        <f>G4-$G$4</f>
        <v>0</v>
      </c>
    </row>
    <row r="5" spans="1:8" x14ac:dyDescent="0.75">
      <c r="A5">
        <v>5</v>
      </c>
      <c r="B5">
        <v>6</v>
      </c>
      <c r="C5">
        <v>4.08</v>
      </c>
      <c r="D5">
        <f t="shared" si="0"/>
        <v>4.32</v>
      </c>
      <c r="E5">
        <v>5</v>
      </c>
      <c r="F5">
        <v>0</v>
      </c>
      <c r="G5">
        <v>7.58</v>
      </c>
    </row>
    <row r="6" spans="1:8" x14ac:dyDescent="0.75">
      <c r="A6">
        <v>5</v>
      </c>
      <c r="B6">
        <v>8</v>
      </c>
      <c r="C6">
        <v>1.72</v>
      </c>
      <c r="D6">
        <f t="shared" si="0"/>
        <v>6.6800000000000006</v>
      </c>
    </row>
    <row r="7" spans="1:8" x14ac:dyDescent="0.75">
      <c r="A7">
        <v>5</v>
      </c>
      <c r="B7">
        <v>3</v>
      </c>
      <c r="C7">
        <v>4.4000000000000004</v>
      </c>
      <c r="D7">
        <f t="shared" si="0"/>
        <v>4</v>
      </c>
    </row>
    <row r="8" spans="1:8" x14ac:dyDescent="0.75">
      <c r="A8">
        <v>5</v>
      </c>
      <c r="B8">
        <v>2</v>
      </c>
      <c r="C8">
        <f>C7+H3</f>
        <v>5.5</v>
      </c>
      <c r="D8">
        <f t="shared" si="0"/>
        <v>2.9000000000000004</v>
      </c>
    </row>
    <row r="9" spans="1:8" x14ac:dyDescent="0.75">
      <c r="A9">
        <v>5</v>
      </c>
      <c r="B9">
        <v>1</v>
      </c>
      <c r="C9">
        <f>C7+H2</f>
        <v>5.0999999999999996</v>
      </c>
      <c r="D9">
        <f t="shared" si="0"/>
        <v>3.3000000000000007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</vt:lpstr>
      <vt:lpstr>well dims</vt:lpstr>
      <vt:lpstr>screen extent</vt:lpstr>
      <vt:lpstr>elevation</vt:lpstr>
      <vt:lpstr>total well length </vt:lpstr>
      <vt:lpstr>well heightw extension </vt:lpstr>
      <vt:lpstr>well height_raw</vt:lpstr>
      <vt:lpstr>scope elevations</vt:lpstr>
      <vt:lpstr>scope elevations 04172026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Howley,Samantha T</dc:creator>
  <cp:lastModifiedBy>Howley,Samantha T</cp:lastModifiedBy>
  <dcterms:created xsi:type="dcterms:W3CDTF">2025-10-06T18:23:57Z</dcterms:created>
  <dcterms:modified xsi:type="dcterms:W3CDTF">2026-04-17T19:53:49Z</dcterms:modified>
</cp:coreProperties>
</file>