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sertation\01_Raw_data\"/>
    </mc:Choice>
  </mc:AlternateContent>
  <xr:revisionPtr revIDLastSave="0" documentId="13_ncr:1_{8AC097CA-63BD-45D5-9DAC-12783B70FBB7}" xr6:coauthVersionLast="47" xr6:coauthVersionMax="47" xr10:uidLastSave="{00000000-0000-0000-0000-000000000000}"/>
  <bookViews>
    <workbookView xWindow="25080" yWindow="-3480" windowWidth="29040" windowHeight="15720" activeTab="3" xr2:uid="{F7293907-82DB-43B5-B1CE-AB3694F19056}"/>
  </bookViews>
  <sheets>
    <sheet name="Field" sheetId="1" r:id="rId1"/>
    <sheet name="Lab" sheetId="2" r:id="rId2"/>
    <sheet name="Moisture Content" sheetId="3" r:id="rId3"/>
    <sheet name="Carbon Content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4" l="1"/>
  <c r="K46" i="4"/>
  <c r="K45" i="4"/>
  <c r="K44" i="4"/>
  <c r="K43" i="4"/>
  <c r="K42" i="4"/>
  <c r="K41" i="4"/>
  <c r="K40" i="4"/>
  <c r="K39" i="4"/>
  <c r="K38" i="4"/>
  <c r="K37" i="4"/>
  <c r="K36" i="4"/>
  <c r="J18" i="3"/>
  <c r="J17" i="3"/>
  <c r="J16" i="3"/>
  <c r="J10" i="3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2" i="4"/>
  <c r="O15" i="2"/>
  <c r="O16" i="2"/>
  <c r="O17" i="2"/>
  <c r="O18" i="2"/>
  <c r="J12" i="3"/>
  <c r="J13" i="3"/>
  <c r="J14" i="3"/>
  <c r="J15" i="3"/>
  <c r="J7" i="3"/>
  <c r="J8" i="3"/>
  <c r="J9" i="3"/>
  <c r="J11" i="3"/>
  <c r="J3" i="3"/>
  <c r="J4" i="3"/>
  <c r="J5" i="3"/>
  <c r="J6" i="3"/>
  <c r="J2" i="3"/>
  <c r="H8" i="3"/>
  <c r="J20" i="2"/>
  <c r="J21" i="2"/>
  <c r="J22" i="2"/>
  <c r="J23" i="2"/>
  <c r="J19" i="2"/>
  <c r="Q2" i="2"/>
  <c r="O2" i="2"/>
  <c r="M20" i="2"/>
  <c r="M19" i="2"/>
  <c r="M2" i="2"/>
  <c r="J2" i="2"/>
  <c r="F4" i="1"/>
  <c r="F5" i="1"/>
  <c r="F3" i="1"/>
</calcChain>
</file>

<file path=xl/sharedStrings.xml><?xml version="1.0" encoding="utf-8"?>
<sst xmlns="http://schemas.openxmlformats.org/spreadsheetml/2006/main" count="390" uniqueCount="69">
  <si>
    <t>Field ID</t>
  </si>
  <si>
    <t>method</t>
  </si>
  <si>
    <t>depth</t>
  </si>
  <si>
    <t>total mass</t>
  </si>
  <si>
    <t xml:space="preserve">tray </t>
  </si>
  <si>
    <t>tray+soil</t>
  </si>
  <si>
    <t>boat</t>
  </si>
  <si>
    <t>wet weigh</t>
  </si>
  <si>
    <t>dry weight</t>
  </si>
  <si>
    <t>root volume</t>
  </si>
  <si>
    <t>sample ID</t>
  </si>
  <si>
    <t>Site</t>
  </si>
  <si>
    <t>Boundary</t>
  </si>
  <si>
    <t>990+tray</t>
  </si>
  <si>
    <t>550+tray</t>
  </si>
  <si>
    <t>Bank</t>
  </si>
  <si>
    <t>cycl</t>
  </si>
  <si>
    <t>Person</t>
  </si>
  <si>
    <t>0-10cm</t>
  </si>
  <si>
    <t>10-20cm</t>
  </si>
  <si>
    <t>20-30cm</t>
  </si>
  <si>
    <t>RW</t>
  </si>
  <si>
    <t>bore hole depth (in)</t>
  </si>
  <si>
    <t>bore hole depth (cm)</t>
  </si>
  <si>
    <t>20-30</t>
  </si>
  <si>
    <t>hammer</t>
  </si>
  <si>
    <t>0-45cm</t>
  </si>
  <si>
    <t>replicate</t>
  </si>
  <si>
    <t>cyl.bank.20-30</t>
  </si>
  <si>
    <t>hammer.bank.0-45</t>
  </si>
  <si>
    <t>hammer.boundary.0-45</t>
  </si>
  <si>
    <t>cyl.bank.10-20</t>
  </si>
  <si>
    <t>cyl.RW.0-10</t>
  </si>
  <si>
    <t>cyl.midpoint.10-20</t>
  </si>
  <si>
    <t>cyl.RW.20-30</t>
  </si>
  <si>
    <t>Field Tech</t>
  </si>
  <si>
    <t>Lab Tech</t>
  </si>
  <si>
    <t>SH</t>
  </si>
  <si>
    <t>cyl.bank.0-10</t>
  </si>
  <si>
    <t>SHAT</t>
  </si>
  <si>
    <t xml:space="preserve">boat+wet soil </t>
  </si>
  <si>
    <t>hammer.midpoint.0-45</t>
  </si>
  <si>
    <t>LCD</t>
  </si>
  <si>
    <t>dry weight+boat</t>
  </si>
  <si>
    <t>550 LOI</t>
  </si>
  <si>
    <t>990 LOI</t>
  </si>
  <si>
    <t>cyl.midpoint.10-21</t>
  </si>
  <si>
    <t>cyl.midpoint.10-22</t>
  </si>
  <si>
    <t>Method</t>
  </si>
  <si>
    <t xml:space="preserve">Location </t>
  </si>
  <si>
    <t xml:space="preserve">Depth </t>
  </si>
  <si>
    <t>Tray</t>
  </si>
  <si>
    <t>Wet Weight</t>
  </si>
  <si>
    <t>cyl</t>
  </si>
  <si>
    <t>Dry Weight</t>
  </si>
  <si>
    <t>0-10</t>
  </si>
  <si>
    <t>cyL</t>
  </si>
  <si>
    <t>10-20</t>
  </si>
  <si>
    <t>0-45</t>
  </si>
  <si>
    <t>bank</t>
  </si>
  <si>
    <t>R2</t>
  </si>
  <si>
    <t>Rep</t>
  </si>
  <si>
    <t>boat+dry soil</t>
  </si>
  <si>
    <t>boundary</t>
  </si>
  <si>
    <t>10T20</t>
  </si>
  <si>
    <t>STH</t>
  </si>
  <si>
    <t>Notes</t>
  </si>
  <si>
    <t>5g wet removed</t>
  </si>
  <si>
    <t>LOI 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</si>
</sst>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2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B006-1A30-46DE-8643-E00C539735F6}">
  <dimension ref="A1:H10"/>
  <sheetViews>
    <sheetView workbookViewId="0">
      <selection activeCell="H21" sqref="H21"/>
    </sheetView>
  </sheetViews>
  <sheetFormatPr defaultRowHeight="15" x14ac:dyDescent="0.25"/>
  <cols>
    <col min="5" max="5" width="18.5703125" style="4" bestFit="1" customWidth="1"/>
    <col min="6" max="6" width="19.5703125" bestFit="1" customWidth="1"/>
    <col min="7" max="7" width="14.85546875" customWidth="1"/>
    <col min="9" max="9" width="16.7109375" bestFit="1" customWidth="1"/>
    <col min="10" max="10" width="5" bestFit="1" customWidth="1"/>
    <col min="11" max="12" width="14.85546875" customWidth="1"/>
    <col min="17" max="17" width="13.140625" bestFit="1" customWidth="1"/>
    <col min="19" max="19" width="8.28515625" bestFit="1" customWidth="1"/>
    <col min="20" max="20" width="8.28515625" customWidth="1"/>
  </cols>
  <sheetData>
    <row r="1" spans="1:8" x14ac:dyDescent="0.25">
      <c r="A1" t="s">
        <v>11</v>
      </c>
      <c r="B1" t="s">
        <v>12</v>
      </c>
      <c r="C1" s="1" t="s">
        <v>1</v>
      </c>
      <c r="D1" s="1" t="s">
        <v>2</v>
      </c>
      <c r="E1" s="3" t="s">
        <v>22</v>
      </c>
      <c r="F1" s="1" t="s">
        <v>23</v>
      </c>
      <c r="G1" s="1" t="s">
        <v>17</v>
      </c>
      <c r="H1" s="1" t="s">
        <v>0</v>
      </c>
    </row>
    <row r="3" spans="1:8" x14ac:dyDescent="0.25">
      <c r="A3">
        <v>5</v>
      </c>
      <c r="B3" t="s">
        <v>15</v>
      </c>
      <c r="C3" t="s">
        <v>16</v>
      </c>
      <c r="D3" t="s">
        <v>18</v>
      </c>
      <c r="E3" s="4">
        <v>4.5</v>
      </c>
      <c r="F3">
        <f>CONVERT(E3, "in", "cm")</f>
        <v>11.43</v>
      </c>
      <c r="G3" t="s">
        <v>39</v>
      </c>
    </row>
    <row r="4" spans="1:8" x14ac:dyDescent="0.25">
      <c r="A4">
        <v>5</v>
      </c>
      <c r="B4" t="s">
        <v>15</v>
      </c>
      <c r="C4" t="s">
        <v>16</v>
      </c>
      <c r="D4" s="2" t="s">
        <v>19</v>
      </c>
      <c r="E4" s="4">
        <v>8</v>
      </c>
      <c r="F4">
        <f t="shared" ref="F4:F5" si="0">CONVERT(E4, "in", "cm")</f>
        <v>20.32</v>
      </c>
      <c r="G4" t="s">
        <v>39</v>
      </c>
    </row>
    <row r="5" spans="1:8" x14ac:dyDescent="0.25">
      <c r="A5">
        <v>5</v>
      </c>
      <c r="B5" t="s">
        <v>15</v>
      </c>
      <c r="C5" t="s">
        <v>16</v>
      </c>
      <c r="D5" t="s">
        <v>20</v>
      </c>
      <c r="E5" s="4">
        <v>11</v>
      </c>
      <c r="F5">
        <f t="shared" si="0"/>
        <v>27.939999999999998</v>
      </c>
      <c r="G5" t="s">
        <v>39</v>
      </c>
    </row>
    <row r="6" spans="1:8" x14ac:dyDescent="0.25">
      <c r="A6">
        <v>5</v>
      </c>
      <c r="B6" t="s">
        <v>21</v>
      </c>
      <c r="C6" t="s">
        <v>16</v>
      </c>
      <c r="D6" t="s">
        <v>18</v>
      </c>
      <c r="F6">
        <v>9.5</v>
      </c>
      <c r="G6" t="s">
        <v>39</v>
      </c>
    </row>
    <row r="7" spans="1:8" x14ac:dyDescent="0.25">
      <c r="A7">
        <v>5</v>
      </c>
      <c r="B7" t="s">
        <v>21</v>
      </c>
      <c r="C7" t="s">
        <v>16</v>
      </c>
      <c r="D7" s="2" t="s">
        <v>19</v>
      </c>
      <c r="F7">
        <v>20</v>
      </c>
      <c r="G7" t="s">
        <v>39</v>
      </c>
    </row>
    <row r="8" spans="1:8" x14ac:dyDescent="0.25">
      <c r="A8">
        <v>5</v>
      </c>
      <c r="B8" t="s">
        <v>21</v>
      </c>
      <c r="C8" t="s">
        <v>16</v>
      </c>
      <c r="D8" t="s">
        <v>24</v>
      </c>
      <c r="F8">
        <v>30</v>
      </c>
      <c r="G8" t="s">
        <v>39</v>
      </c>
    </row>
    <row r="9" spans="1:8" x14ac:dyDescent="0.25">
      <c r="A9">
        <v>5</v>
      </c>
      <c r="B9" t="s">
        <v>21</v>
      </c>
      <c r="C9" t="s">
        <v>25</v>
      </c>
      <c r="D9" t="s">
        <v>26</v>
      </c>
      <c r="F9">
        <v>46</v>
      </c>
      <c r="G9" t="s">
        <v>39</v>
      </c>
    </row>
    <row r="10" spans="1:8" x14ac:dyDescent="0.25">
      <c r="A10">
        <v>5</v>
      </c>
      <c r="B10" t="s">
        <v>12</v>
      </c>
      <c r="C10" t="s">
        <v>25</v>
      </c>
      <c r="D10" t="s">
        <v>26</v>
      </c>
      <c r="F10">
        <v>46</v>
      </c>
      <c r="G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573A-0F9F-4625-940A-80954017F6B4}">
  <dimension ref="A1:S23"/>
  <sheetViews>
    <sheetView workbookViewId="0">
      <selection activeCell="D28" sqref="D28"/>
    </sheetView>
  </sheetViews>
  <sheetFormatPr defaultRowHeight="15" x14ac:dyDescent="0.25"/>
  <cols>
    <col min="5" max="5" width="22.140625" bestFit="1" customWidth="1"/>
    <col min="6" max="6" width="20.7109375" customWidth="1"/>
    <col min="7" max="8" width="9.140625" customWidth="1"/>
    <col min="9" max="9" width="11.42578125" customWidth="1"/>
    <col min="10" max="10" width="10.28515625" customWidth="1"/>
    <col min="11" max="11" width="6" customWidth="1"/>
    <col min="12" max="12" width="13.28515625" customWidth="1"/>
    <col min="13" max="13" width="9.5703125" customWidth="1"/>
    <col min="14" max="14" width="19.140625" bestFit="1" customWidth="1"/>
    <col min="15" max="15" width="9.85546875" bestFit="1" customWidth="1"/>
    <col min="16" max="16" width="8.28515625" bestFit="1" customWidth="1"/>
    <col min="17" max="17" width="12" customWidth="1"/>
  </cols>
  <sheetData>
    <row r="1" spans="1:19" s="1" customFormat="1" x14ac:dyDescent="0.25">
      <c r="A1" s="1" t="s">
        <v>35</v>
      </c>
      <c r="B1" s="1" t="s">
        <v>36</v>
      </c>
      <c r="C1" s="1" t="s">
        <v>11</v>
      </c>
      <c r="E1" s="1" t="s">
        <v>10</v>
      </c>
      <c r="F1" s="1" t="s">
        <v>27</v>
      </c>
      <c r="G1" s="1" t="s">
        <v>4</v>
      </c>
      <c r="H1" s="1" t="s">
        <v>5</v>
      </c>
      <c r="I1" s="1" t="s">
        <v>9</v>
      </c>
      <c r="J1" s="1" t="s">
        <v>3</v>
      </c>
      <c r="K1" s="1" t="s">
        <v>6</v>
      </c>
      <c r="L1" s="1" t="s">
        <v>40</v>
      </c>
      <c r="M1" s="1" t="s">
        <v>7</v>
      </c>
      <c r="N1" s="1" t="s">
        <v>43</v>
      </c>
      <c r="O1" s="1" t="s">
        <v>8</v>
      </c>
      <c r="P1" s="1" t="s">
        <v>14</v>
      </c>
      <c r="Q1" s="1" t="s">
        <v>44</v>
      </c>
      <c r="R1" s="1" t="s">
        <v>13</v>
      </c>
      <c r="S1" s="1" t="s">
        <v>45</v>
      </c>
    </row>
    <row r="2" spans="1:19" s="5" customFormat="1" x14ac:dyDescent="0.25">
      <c r="B2" s="5" t="s">
        <v>37</v>
      </c>
      <c r="C2" s="5">
        <v>5</v>
      </c>
      <c r="E2" s="5" t="s">
        <v>38</v>
      </c>
      <c r="F2" s="5">
        <v>1</v>
      </c>
      <c r="G2" s="5">
        <v>29.2</v>
      </c>
      <c r="H2" s="5">
        <v>312.49</v>
      </c>
      <c r="J2" s="5">
        <f>H2-G2</f>
        <v>283.29000000000002</v>
      </c>
      <c r="K2" s="5">
        <v>1.3140000000000001</v>
      </c>
      <c r="L2" s="5">
        <v>6.3129999999999997</v>
      </c>
      <c r="M2" s="5">
        <f>L2-K2</f>
        <v>4.9989999999999997</v>
      </c>
      <c r="N2" s="5">
        <v>5.1890000000000001</v>
      </c>
      <c r="O2" s="5">
        <f>N2-K2</f>
        <v>3.875</v>
      </c>
      <c r="P2" s="5">
        <v>4.7409999999999997</v>
      </c>
      <c r="Q2" s="5">
        <f>N2-P2</f>
        <v>0.4480000000000004</v>
      </c>
    </row>
    <row r="3" spans="1:19" x14ac:dyDescent="0.25">
      <c r="C3">
        <v>5</v>
      </c>
      <c r="E3" t="s">
        <v>29</v>
      </c>
      <c r="F3">
        <v>1</v>
      </c>
      <c r="P3">
        <v>4.6790000000000003</v>
      </c>
    </row>
    <row r="4" spans="1:19" x14ac:dyDescent="0.25">
      <c r="C4">
        <v>5</v>
      </c>
      <c r="E4" t="s">
        <v>30</v>
      </c>
      <c r="F4">
        <v>1</v>
      </c>
      <c r="P4">
        <v>5.7939999999999996</v>
      </c>
    </row>
    <row r="5" spans="1:19" x14ac:dyDescent="0.25">
      <c r="C5">
        <v>5</v>
      </c>
      <c r="E5" t="s">
        <v>28</v>
      </c>
      <c r="F5">
        <v>1</v>
      </c>
      <c r="P5">
        <v>5.6909999999999998</v>
      </c>
    </row>
    <row r="6" spans="1:19" x14ac:dyDescent="0.25">
      <c r="C6">
        <v>5</v>
      </c>
      <c r="E6" t="s">
        <v>28</v>
      </c>
      <c r="F6">
        <v>1</v>
      </c>
      <c r="P6">
        <v>5.585</v>
      </c>
    </row>
    <row r="7" spans="1:19" x14ac:dyDescent="0.25">
      <c r="C7">
        <v>5</v>
      </c>
      <c r="E7" t="s">
        <v>31</v>
      </c>
      <c r="F7">
        <v>1</v>
      </c>
      <c r="P7">
        <v>5.0869999999999997</v>
      </c>
    </row>
    <row r="8" spans="1:19" x14ac:dyDescent="0.25">
      <c r="C8">
        <v>5</v>
      </c>
      <c r="E8" t="s">
        <v>38</v>
      </c>
      <c r="F8">
        <v>1</v>
      </c>
      <c r="P8">
        <v>6.093</v>
      </c>
    </row>
    <row r="9" spans="1:19" x14ac:dyDescent="0.25">
      <c r="E9" t="s">
        <v>31</v>
      </c>
      <c r="N9">
        <v>5.8869999999999996</v>
      </c>
    </row>
    <row r="10" spans="1:19" x14ac:dyDescent="0.25">
      <c r="E10" t="s">
        <v>32</v>
      </c>
      <c r="N10">
        <v>6.0590000000000002</v>
      </c>
    </row>
    <row r="11" spans="1:19" x14ac:dyDescent="0.25">
      <c r="E11" t="s">
        <v>41</v>
      </c>
      <c r="F11">
        <v>1</v>
      </c>
      <c r="N11">
        <v>4.8079999999999998</v>
      </c>
    </row>
    <row r="12" spans="1:19" x14ac:dyDescent="0.25">
      <c r="E12" t="s">
        <v>33</v>
      </c>
      <c r="N12">
        <v>5.0890000000000004</v>
      </c>
    </row>
    <row r="13" spans="1:19" x14ac:dyDescent="0.25">
      <c r="E13" t="s">
        <v>34</v>
      </c>
      <c r="N13">
        <v>5.9</v>
      </c>
    </row>
    <row r="14" spans="1:19" x14ac:dyDescent="0.25">
      <c r="E14" t="s">
        <v>30</v>
      </c>
      <c r="F14">
        <v>1</v>
      </c>
      <c r="N14">
        <v>5.992</v>
      </c>
    </row>
    <row r="15" spans="1:19" x14ac:dyDescent="0.25">
      <c r="E15" t="s">
        <v>30</v>
      </c>
      <c r="F15">
        <v>2</v>
      </c>
      <c r="K15">
        <v>1.3177000000000001</v>
      </c>
      <c r="N15">
        <v>8.4420000000000002</v>
      </c>
      <c r="O15">
        <f>N15-K15</f>
        <v>7.1242999999999999</v>
      </c>
    </row>
    <row r="16" spans="1:19" x14ac:dyDescent="0.25">
      <c r="E16" t="s">
        <v>30</v>
      </c>
      <c r="F16">
        <v>3</v>
      </c>
      <c r="K16">
        <v>1.3129999999999999</v>
      </c>
      <c r="N16">
        <v>9.5850000000000009</v>
      </c>
      <c r="O16">
        <f>N16-K16</f>
        <v>8.2720000000000002</v>
      </c>
    </row>
    <row r="17" spans="1:15" x14ac:dyDescent="0.25">
      <c r="E17" t="s">
        <v>41</v>
      </c>
      <c r="F17">
        <v>2</v>
      </c>
      <c r="K17">
        <v>1.3069999999999999</v>
      </c>
      <c r="N17">
        <v>7.3360000000000003</v>
      </c>
      <c r="O17">
        <f>N17-K17</f>
        <v>6.0289999999999999</v>
      </c>
    </row>
    <row r="18" spans="1:15" x14ac:dyDescent="0.25">
      <c r="E18" t="s">
        <v>41</v>
      </c>
      <c r="F18">
        <v>3</v>
      </c>
      <c r="K18">
        <v>1.3149999999999999</v>
      </c>
      <c r="N18">
        <v>8.5709999999999997</v>
      </c>
      <c r="O18">
        <f>N18-K18</f>
        <v>7.2560000000000002</v>
      </c>
    </row>
    <row r="19" spans="1:15" x14ac:dyDescent="0.25">
      <c r="A19" t="s">
        <v>42</v>
      </c>
      <c r="B19" t="s">
        <v>37</v>
      </c>
      <c r="E19" t="s">
        <v>34</v>
      </c>
      <c r="G19">
        <v>29.61</v>
      </c>
      <c r="H19">
        <v>479.93</v>
      </c>
      <c r="J19">
        <f>H19-G19</f>
        <v>450.32</v>
      </c>
      <c r="M19">
        <f>H19-G19</f>
        <v>450.32</v>
      </c>
    </row>
    <row r="20" spans="1:15" x14ac:dyDescent="0.25">
      <c r="A20" t="s">
        <v>42</v>
      </c>
      <c r="B20" t="s">
        <v>37</v>
      </c>
      <c r="E20" t="s">
        <v>32</v>
      </c>
      <c r="G20">
        <v>29.68</v>
      </c>
      <c r="H20">
        <v>473</v>
      </c>
      <c r="J20">
        <f t="shared" ref="J20:J23" si="0">H20-G20</f>
        <v>443.32</v>
      </c>
      <c r="M20">
        <f t="shared" ref="M20" si="1">H20-G20</f>
        <v>443.32</v>
      </c>
    </row>
    <row r="21" spans="1:15" x14ac:dyDescent="0.25">
      <c r="A21" t="s">
        <v>39</v>
      </c>
      <c r="B21" t="s">
        <v>37</v>
      </c>
      <c r="E21" t="s">
        <v>33</v>
      </c>
      <c r="F21">
        <v>1</v>
      </c>
      <c r="G21">
        <v>29.53</v>
      </c>
      <c r="H21">
        <v>392.71</v>
      </c>
      <c r="J21">
        <f t="shared" si="0"/>
        <v>363.17999999999995</v>
      </c>
      <c r="K21">
        <v>1.3220000000000001</v>
      </c>
      <c r="N21">
        <v>6.1589999999999998</v>
      </c>
    </row>
    <row r="22" spans="1:15" x14ac:dyDescent="0.25">
      <c r="A22" t="s">
        <v>39</v>
      </c>
      <c r="B22" t="s">
        <v>37</v>
      </c>
      <c r="E22" t="s">
        <v>46</v>
      </c>
      <c r="F22">
        <v>2</v>
      </c>
      <c r="G22">
        <v>29.53</v>
      </c>
      <c r="H22">
        <v>392.71</v>
      </c>
      <c r="J22">
        <f t="shared" si="0"/>
        <v>363.17999999999995</v>
      </c>
      <c r="K22">
        <v>1.3140000000000001</v>
      </c>
      <c r="N22">
        <v>8.4649999999999999</v>
      </c>
    </row>
    <row r="23" spans="1:15" x14ac:dyDescent="0.25">
      <c r="A23" t="s">
        <v>39</v>
      </c>
      <c r="B23" t="s">
        <v>37</v>
      </c>
      <c r="E23" t="s">
        <v>47</v>
      </c>
      <c r="F23">
        <v>3</v>
      </c>
      <c r="G23">
        <v>29.53</v>
      </c>
      <c r="H23">
        <v>392.71</v>
      </c>
      <c r="J23">
        <f t="shared" si="0"/>
        <v>363.17999999999995</v>
      </c>
      <c r="K23">
        <v>1.3140000000000001</v>
      </c>
      <c r="N23">
        <v>8.0399999999999991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B9B7-3E4F-4C77-A1BF-A04A09AE0619}">
  <dimension ref="A1:J18"/>
  <sheetViews>
    <sheetView workbookViewId="0">
      <selection activeCell="N20" sqref="N20"/>
    </sheetView>
  </sheetViews>
  <sheetFormatPr defaultRowHeight="15" x14ac:dyDescent="0.25"/>
  <cols>
    <col min="4" max="4" width="9.140625" style="7"/>
    <col min="7" max="7" width="10.7109375" bestFit="1" customWidth="1"/>
    <col min="8" max="8" width="9.7109375" bestFit="1" customWidth="1"/>
    <col min="10" max="10" width="10.28515625" bestFit="1" customWidth="1"/>
  </cols>
  <sheetData>
    <row r="1" spans="1:10" x14ac:dyDescent="0.25">
      <c r="A1" s="1" t="s">
        <v>11</v>
      </c>
      <c r="B1" s="1" t="s">
        <v>48</v>
      </c>
      <c r="C1" s="1" t="s">
        <v>49</v>
      </c>
      <c r="D1" s="6" t="s">
        <v>50</v>
      </c>
      <c r="E1" s="1" t="s">
        <v>35</v>
      </c>
      <c r="F1" s="1" t="s">
        <v>51</v>
      </c>
      <c r="G1" s="1" t="s">
        <v>52</v>
      </c>
      <c r="H1" s="1" t="s">
        <v>54</v>
      </c>
      <c r="I1" s="1" t="s">
        <v>66</v>
      </c>
      <c r="J1" s="1" t="s">
        <v>3</v>
      </c>
    </row>
    <row r="2" spans="1:10" x14ac:dyDescent="0.25">
      <c r="A2">
        <v>5</v>
      </c>
      <c r="B2" t="s">
        <v>53</v>
      </c>
      <c r="C2" t="s">
        <v>21</v>
      </c>
      <c r="D2" s="7" t="s">
        <v>24</v>
      </c>
      <c r="E2" t="s">
        <v>42</v>
      </c>
      <c r="F2">
        <v>29.61</v>
      </c>
      <c r="G2">
        <v>479.93</v>
      </c>
      <c r="H2">
        <v>441.64</v>
      </c>
      <c r="J2">
        <f>G2-F2</f>
        <v>450.32</v>
      </c>
    </row>
    <row r="3" spans="1:10" x14ac:dyDescent="0.25">
      <c r="A3">
        <v>5</v>
      </c>
      <c r="B3" t="s">
        <v>56</v>
      </c>
      <c r="C3" t="s">
        <v>21</v>
      </c>
      <c r="D3" s="7" t="s">
        <v>55</v>
      </c>
      <c r="E3" t="s">
        <v>42</v>
      </c>
      <c r="F3">
        <v>29.68</v>
      </c>
      <c r="G3">
        <v>473</v>
      </c>
      <c r="H3">
        <v>448.49</v>
      </c>
      <c r="J3">
        <f t="shared" ref="J3:J9" si="0">G3-F3</f>
        <v>443.32</v>
      </c>
    </row>
    <row r="4" spans="1:10" x14ac:dyDescent="0.25">
      <c r="A4">
        <v>5</v>
      </c>
      <c r="B4" t="s">
        <v>53</v>
      </c>
      <c r="C4" t="s">
        <v>21</v>
      </c>
      <c r="D4" s="7" t="s">
        <v>57</v>
      </c>
      <c r="E4" t="s">
        <v>39</v>
      </c>
      <c r="F4">
        <v>29.53</v>
      </c>
      <c r="G4">
        <v>392.71</v>
      </c>
      <c r="H4">
        <v>299.89999999999998</v>
      </c>
      <c r="J4">
        <f t="shared" si="0"/>
        <v>363.17999999999995</v>
      </c>
    </row>
    <row r="5" spans="1:10" x14ac:dyDescent="0.25">
      <c r="A5">
        <v>5</v>
      </c>
      <c r="B5" t="s">
        <v>53</v>
      </c>
      <c r="C5" t="s">
        <v>21</v>
      </c>
      <c r="D5" s="7" t="s">
        <v>57</v>
      </c>
      <c r="E5" t="s">
        <v>42</v>
      </c>
      <c r="F5">
        <v>30.3</v>
      </c>
      <c r="G5">
        <v>467.57</v>
      </c>
      <c r="H5">
        <v>423.69</v>
      </c>
      <c r="J5">
        <f t="shared" si="0"/>
        <v>437.27</v>
      </c>
    </row>
    <row r="6" spans="1:10" x14ac:dyDescent="0.25">
      <c r="A6">
        <v>5</v>
      </c>
      <c r="B6" t="s">
        <v>25</v>
      </c>
      <c r="C6" t="s">
        <v>21</v>
      </c>
      <c r="D6" s="7" t="s">
        <v>58</v>
      </c>
      <c r="E6" t="s">
        <v>42</v>
      </c>
      <c r="F6">
        <v>29.55</v>
      </c>
      <c r="G6">
        <v>605.29999999999995</v>
      </c>
      <c r="H6">
        <v>535.87</v>
      </c>
      <c r="J6">
        <f t="shared" si="0"/>
        <v>575.75</v>
      </c>
    </row>
    <row r="7" spans="1:10" x14ac:dyDescent="0.25">
      <c r="A7">
        <v>5</v>
      </c>
      <c r="B7" t="s">
        <v>25</v>
      </c>
      <c r="C7" t="s">
        <v>59</v>
      </c>
      <c r="D7" s="7" t="s">
        <v>58</v>
      </c>
      <c r="E7" t="s">
        <v>42</v>
      </c>
      <c r="F7">
        <v>29.85</v>
      </c>
      <c r="G7">
        <v>491.46</v>
      </c>
      <c r="H7">
        <v>426.24</v>
      </c>
      <c r="I7" t="s">
        <v>60</v>
      </c>
      <c r="J7">
        <f>G7-F7</f>
        <v>461.60999999999996</v>
      </c>
    </row>
    <row r="8" spans="1:10" x14ac:dyDescent="0.25">
      <c r="A8">
        <v>5</v>
      </c>
      <c r="B8" t="s">
        <v>53</v>
      </c>
      <c r="C8" t="s">
        <v>21</v>
      </c>
      <c r="D8" s="7" t="s">
        <v>55</v>
      </c>
      <c r="E8" t="s">
        <v>39</v>
      </c>
      <c r="F8">
        <v>29.89</v>
      </c>
      <c r="G8">
        <v>224.07</v>
      </c>
      <c r="H8">
        <f>144.92+6.25+7.468+6.427</f>
        <v>165.06499999999997</v>
      </c>
      <c r="J8">
        <f t="shared" si="0"/>
        <v>194.18</v>
      </c>
    </row>
    <row r="9" spans="1:10" x14ac:dyDescent="0.25">
      <c r="A9">
        <v>5</v>
      </c>
      <c r="B9" t="s">
        <v>53</v>
      </c>
      <c r="C9" t="s">
        <v>21</v>
      </c>
      <c r="D9" s="7" t="s">
        <v>24</v>
      </c>
      <c r="E9" t="s">
        <v>39</v>
      </c>
      <c r="F9">
        <v>29.68</v>
      </c>
      <c r="G9">
        <v>417.42</v>
      </c>
      <c r="H9">
        <v>315.77</v>
      </c>
      <c r="J9">
        <f t="shared" si="0"/>
        <v>387.74</v>
      </c>
    </row>
    <row r="10" spans="1:10" x14ac:dyDescent="0.25">
      <c r="A10">
        <v>5</v>
      </c>
      <c r="B10" t="s">
        <v>25</v>
      </c>
      <c r="C10" t="s">
        <v>59</v>
      </c>
      <c r="D10" s="7" t="s">
        <v>58</v>
      </c>
      <c r="E10" t="s">
        <v>42</v>
      </c>
      <c r="F10">
        <v>30.13</v>
      </c>
      <c r="G10">
        <v>609.01</v>
      </c>
      <c r="H10">
        <v>561.14</v>
      </c>
      <c r="J10">
        <f>G10-F10</f>
        <v>578.88</v>
      </c>
    </row>
    <row r="11" spans="1:10" x14ac:dyDescent="0.25">
      <c r="A11">
        <v>5</v>
      </c>
      <c r="B11" t="s">
        <v>25</v>
      </c>
      <c r="C11" t="s">
        <v>63</v>
      </c>
      <c r="D11" s="7" t="s">
        <v>58</v>
      </c>
      <c r="E11" t="s">
        <v>39</v>
      </c>
      <c r="F11">
        <v>30.12</v>
      </c>
      <c r="G11">
        <v>857.98</v>
      </c>
      <c r="H11">
        <v>857.98</v>
      </c>
      <c r="I11" t="s">
        <v>67</v>
      </c>
      <c r="J11">
        <f>G11-F11+5</f>
        <v>832.86</v>
      </c>
    </row>
    <row r="12" spans="1:10" x14ac:dyDescent="0.25">
      <c r="A12">
        <v>5</v>
      </c>
      <c r="B12" t="s">
        <v>53</v>
      </c>
      <c r="C12" t="s">
        <v>59</v>
      </c>
      <c r="D12" s="7" t="s">
        <v>55</v>
      </c>
      <c r="E12" t="s">
        <v>65</v>
      </c>
      <c r="F12">
        <v>29.59</v>
      </c>
      <c r="G12">
        <v>303.92</v>
      </c>
      <c r="H12">
        <v>303.92</v>
      </c>
      <c r="I12" t="s">
        <v>67</v>
      </c>
      <c r="J12">
        <f t="shared" ref="J12:J18" si="1">G12-F12+5</f>
        <v>279.33000000000004</v>
      </c>
    </row>
    <row r="13" spans="1:10" x14ac:dyDescent="0.25">
      <c r="A13">
        <v>5</v>
      </c>
      <c r="B13" t="s">
        <v>53</v>
      </c>
      <c r="C13" t="s">
        <v>59</v>
      </c>
      <c r="D13" s="7" t="s">
        <v>57</v>
      </c>
      <c r="E13" t="s">
        <v>39</v>
      </c>
      <c r="F13">
        <v>30.08</v>
      </c>
      <c r="G13">
        <v>613.97</v>
      </c>
      <c r="H13">
        <v>613.97</v>
      </c>
      <c r="I13" t="s">
        <v>67</v>
      </c>
      <c r="J13">
        <f t="shared" si="1"/>
        <v>588.89</v>
      </c>
    </row>
    <row r="14" spans="1:10" x14ac:dyDescent="0.25">
      <c r="A14">
        <v>5</v>
      </c>
      <c r="B14" t="s">
        <v>53</v>
      </c>
      <c r="C14" t="s">
        <v>59</v>
      </c>
      <c r="D14" s="7" t="s">
        <v>24</v>
      </c>
      <c r="E14" t="s">
        <v>39</v>
      </c>
      <c r="F14">
        <v>29.74</v>
      </c>
      <c r="G14">
        <v>583.85</v>
      </c>
      <c r="H14">
        <v>583.85</v>
      </c>
      <c r="I14" t="s">
        <v>67</v>
      </c>
      <c r="J14">
        <f t="shared" si="1"/>
        <v>559.11</v>
      </c>
    </row>
    <row r="15" spans="1:10" x14ac:dyDescent="0.25">
      <c r="A15">
        <v>5</v>
      </c>
      <c r="B15" t="s">
        <v>53</v>
      </c>
      <c r="C15" t="s">
        <v>59</v>
      </c>
      <c r="D15" s="7" t="s">
        <v>55</v>
      </c>
      <c r="E15" t="s">
        <v>39</v>
      </c>
      <c r="F15">
        <v>30.09</v>
      </c>
      <c r="G15">
        <v>580.88</v>
      </c>
      <c r="H15">
        <v>580.88</v>
      </c>
      <c r="I15" t="s">
        <v>67</v>
      </c>
      <c r="J15">
        <f t="shared" si="1"/>
        <v>555.79</v>
      </c>
    </row>
    <row r="16" spans="1:10" x14ac:dyDescent="0.25">
      <c r="A16">
        <v>5</v>
      </c>
      <c r="B16" t="s">
        <v>53</v>
      </c>
      <c r="C16" t="s">
        <v>59</v>
      </c>
      <c r="D16" s="7" t="s">
        <v>57</v>
      </c>
      <c r="F16">
        <v>29.65</v>
      </c>
      <c r="G16">
        <v>467.21</v>
      </c>
      <c r="J16">
        <f t="shared" si="1"/>
        <v>442.56</v>
      </c>
    </row>
    <row r="17" spans="1:10" x14ac:dyDescent="0.25">
      <c r="A17">
        <v>5</v>
      </c>
      <c r="B17" t="s">
        <v>53</v>
      </c>
      <c r="C17" t="s">
        <v>59</v>
      </c>
      <c r="D17" s="7" t="s">
        <v>24</v>
      </c>
      <c r="F17">
        <v>29.59</v>
      </c>
      <c r="G17">
        <v>556.45000000000005</v>
      </c>
      <c r="J17">
        <f t="shared" si="1"/>
        <v>531.86</v>
      </c>
    </row>
    <row r="18" spans="1:10" x14ac:dyDescent="0.25">
      <c r="A18">
        <v>5</v>
      </c>
      <c r="B18" t="s">
        <v>25</v>
      </c>
      <c r="C18" t="s">
        <v>59</v>
      </c>
      <c r="D18" s="7" t="s">
        <v>58</v>
      </c>
      <c r="F18">
        <v>30</v>
      </c>
      <c r="G18">
        <v>277.02999999999997</v>
      </c>
      <c r="J18">
        <f t="shared" si="1"/>
        <v>252.02999999999997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748F-B9F3-49BC-A74D-418885712CC5}">
  <dimension ref="A1:K47"/>
  <sheetViews>
    <sheetView tabSelected="1" workbookViewId="0">
      <selection activeCell="N18" sqref="N18"/>
    </sheetView>
  </sheetViews>
  <sheetFormatPr defaultRowHeight="15" x14ac:dyDescent="0.25"/>
  <cols>
    <col min="9" max="9" width="12.42578125" bestFit="1" customWidth="1"/>
  </cols>
  <sheetData>
    <row r="1" spans="1:11" x14ac:dyDescent="0.25">
      <c r="A1" s="1" t="s">
        <v>11</v>
      </c>
      <c r="B1" s="1" t="s">
        <v>48</v>
      </c>
      <c r="C1" s="1" t="s">
        <v>49</v>
      </c>
      <c r="D1" s="1" t="s">
        <v>50</v>
      </c>
      <c r="E1" s="1" t="s">
        <v>61</v>
      </c>
      <c r="F1" s="1" t="s">
        <v>35</v>
      </c>
      <c r="G1" s="1" t="s">
        <v>36</v>
      </c>
      <c r="H1" s="1" t="s">
        <v>6</v>
      </c>
      <c r="I1" s="1" t="s">
        <v>62</v>
      </c>
      <c r="J1">
        <v>550</v>
      </c>
      <c r="K1" s="1" t="s">
        <v>68</v>
      </c>
    </row>
    <row r="2" spans="1:11" x14ac:dyDescent="0.25">
      <c r="A2">
        <v>5</v>
      </c>
      <c r="B2" t="s">
        <v>53</v>
      </c>
      <c r="C2" t="s">
        <v>59</v>
      </c>
      <c r="D2" t="s">
        <v>55</v>
      </c>
      <c r="E2">
        <v>1</v>
      </c>
      <c r="F2" t="s">
        <v>37</v>
      </c>
      <c r="G2" t="s">
        <v>37</v>
      </c>
      <c r="H2">
        <v>1.3140000000000001</v>
      </c>
      <c r="I2">
        <v>6.3129999999999997</v>
      </c>
      <c r="J2">
        <v>4.7409999999999997</v>
      </c>
      <c r="K2">
        <f>I2-J2</f>
        <v>1.5720000000000001</v>
      </c>
    </row>
    <row r="3" spans="1:11" x14ac:dyDescent="0.25">
      <c r="A3">
        <v>5</v>
      </c>
      <c r="B3" t="s">
        <v>53</v>
      </c>
      <c r="C3" t="s">
        <v>21</v>
      </c>
      <c r="D3" t="s">
        <v>55</v>
      </c>
      <c r="E3">
        <v>1</v>
      </c>
      <c r="F3" t="s">
        <v>39</v>
      </c>
      <c r="G3" t="s">
        <v>37</v>
      </c>
      <c r="H3">
        <v>1.3220000000000001</v>
      </c>
      <c r="I3">
        <v>6.1589999999999998</v>
      </c>
      <c r="J3">
        <v>5.6210000000000004</v>
      </c>
      <c r="K3">
        <f t="shared" ref="K3:K47" si="0">I3-J3</f>
        <v>0.53799999999999937</v>
      </c>
    </row>
    <row r="4" spans="1:11" x14ac:dyDescent="0.25">
      <c r="A4">
        <v>5</v>
      </c>
      <c r="B4" t="s">
        <v>53</v>
      </c>
      <c r="C4" t="s">
        <v>21</v>
      </c>
      <c r="D4" t="s">
        <v>55</v>
      </c>
      <c r="E4">
        <v>2</v>
      </c>
      <c r="F4" t="s">
        <v>39</v>
      </c>
      <c r="H4">
        <v>1.3140000000000001</v>
      </c>
      <c r="I4">
        <v>8.4559999999999995</v>
      </c>
      <c r="J4">
        <v>7.6859999999999999</v>
      </c>
      <c r="K4">
        <f t="shared" si="0"/>
        <v>0.76999999999999957</v>
      </c>
    </row>
    <row r="5" spans="1:11" x14ac:dyDescent="0.25">
      <c r="A5">
        <v>5</v>
      </c>
      <c r="B5" t="s">
        <v>53</v>
      </c>
      <c r="C5" t="s">
        <v>21</v>
      </c>
      <c r="D5" t="s">
        <v>55</v>
      </c>
      <c r="E5">
        <v>3</v>
      </c>
      <c r="F5" t="s">
        <v>39</v>
      </c>
      <c r="H5">
        <v>1.3140000000000001</v>
      </c>
      <c r="I5">
        <v>8.0399999999999991</v>
      </c>
      <c r="J5">
        <v>7.3090000000000002</v>
      </c>
      <c r="K5">
        <f t="shared" si="0"/>
        <v>0.73099999999999898</v>
      </c>
    </row>
    <row r="6" spans="1:11" x14ac:dyDescent="0.25">
      <c r="A6">
        <v>5</v>
      </c>
      <c r="B6" t="s">
        <v>53</v>
      </c>
      <c r="C6" t="s">
        <v>21</v>
      </c>
      <c r="D6" t="s">
        <v>24</v>
      </c>
      <c r="E6">
        <v>1</v>
      </c>
      <c r="F6" t="s">
        <v>42</v>
      </c>
      <c r="G6" t="s">
        <v>37</v>
      </c>
      <c r="H6">
        <v>1.3149999999999999</v>
      </c>
      <c r="I6">
        <v>10.891999999999999</v>
      </c>
      <c r="J6">
        <v>10.53</v>
      </c>
      <c r="K6">
        <f t="shared" si="0"/>
        <v>0.3620000000000001</v>
      </c>
    </row>
    <row r="7" spans="1:11" x14ac:dyDescent="0.25">
      <c r="A7">
        <v>5</v>
      </c>
      <c r="B7" t="s">
        <v>53</v>
      </c>
      <c r="C7" t="s">
        <v>21</v>
      </c>
      <c r="D7" t="s">
        <v>24</v>
      </c>
      <c r="E7">
        <v>2</v>
      </c>
      <c r="F7" t="s">
        <v>42</v>
      </c>
      <c r="H7">
        <v>1.3109999999999999</v>
      </c>
      <c r="I7">
        <v>10.441000000000001</v>
      </c>
      <c r="J7">
        <v>10.614000000000001</v>
      </c>
      <c r="K7">
        <f t="shared" si="0"/>
        <v>-0.17300000000000004</v>
      </c>
    </row>
    <row r="8" spans="1:11" x14ac:dyDescent="0.25">
      <c r="A8">
        <v>5</v>
      </c>
      <c r="B8" t="s">
        <v>53</v>
      </c>
      <c r="C8" t="s">
        <v>21</v>
      </c>
      <c r="D8" t="s">
        <v>24</v>
      </c>
      <c r="E8">
        <v>3</v>
      </c>
      <c r="F8" t="s">
        <v>42</v>
      </c>
      <c r="H8">
        <v>1.3140000000000001</v>
      </c>
      <c r="I8">
        <v>9.4939999999999998</v>
      </c>
      <c r="J8">
        <v>9.2490000000000006</v>
      </c>
      <c r="K8">
        <f t="shared" si="0"/>
        <v>0.24499999999999922</v>
      </c>
    </row>
    <row r="9" spans="1:11" x14ac:dyDescent="0.25">
      <c r="A9">
        <v>5</v>
      </c>
      <c r="B9" t="s">
        <v>53</v>
      </c>
      <c r="C9" t="s">
        <v>21</v>
      </c>
      <c r="D9" t="s">
        <v>55</v>
      </c>
      <c r="E9">
        <v>1</v>
      </c>
      <c r="F9" t="s">
        <v>42</v>
      </c>
      <c r="H9">
        <v>1.3129999999999999</v>
      </c>
      <c r="I9">
        <v>11.287000000000001</v>
      </c>
      <c r="J9">
        <v>10.914999999999999</v>
      </c>
      <c r="K9">
        <f t="shared" si="0"/>
        <v>0.37200000000000166</v>
      </c>
    </row>
    <row r="10" spans="1:11" x14ac:dyDescent="0.25">
      <c r="A10">
        <v>5</v>
      </c>
      <c r="B10" s="2" t="s">
        <v>53</v>
      </c>
      <c r="C10" t="s">
        <v>21</v>
      </c>
      <c r="D10" t="s">
        <v>55</v>
      </c>
      <c r="E10">
        <v>2</v>
      </c>
      <c r="F10" t="s">
        <v>42</v>
      </c>
      <c r="H10">
        <v>1.3140000000000001</v>
      </c>
      <c r="I10">
        <v>9.0120000000000005</v>
      </c>
      <c r="J10">
        <v>8.7260000000000009</v>
      </c>
      <c r="K10">
        <f t="shared" si="0"/>
        <v>0.28599999999999959</v>
      </c>
    </row>
    <row r="11" spans="1:11" x14ac:dyDescent="0.25">
      <c r="A11">
        <v>5</v>
      </c>
      <c r="B11" s="2" t="s">
        <v>53</v>
      </c>
      <c r="C11" t="s">
        <v>21</v>
      </c>
      <c r="D11" t="s">
        <v>55</v>
      </c>
      <c r="E11">
        <v>3</v>
      </c>
      <c r="F11" t="s">
        <v>42</v>
      </c>
      <c r="H11">
        <v>1.3129999999999999</v>
      </c>
      <c r="I11">
        <v>9.327</v>
      </c>
      <c r="J11">
        <v>9.0350000000000001</v>
      </c>
      <c r="K11">
        <f t="shared" si="0"/>
        <v>0.29199999999999982</v>
      </c>
    </row>
    <row r="12" spans="1:11" x14ac:dyDescent="0.25">
      <c r="A12">
        <v>5</v>
      </c>
      <c r="B12" t="s">
        <v>53</v>
      </c>
      <c r="C12" t="s">
        <v>21</v>
      </c>
      <c r="D12" s="2" t="s">
        <v>64</v>
      </c>
      <c r="E12">
        <v>1</v>
      </c>
      <c r="F12" t="s">
        <v>42</v>
      </c>
      <c r="H12">
        <v>1.3109999999999999</v>
      </c>
      <c r="I12">
        <v>8.7140000000000004</v>
      </c>
      <c r="J12">
        <v>8.4369999999999994</v>
      </c>
      <c r="K12">
        <f t="shared" si="0"/>
        <v>0.27700000000000102</v>
      </c>
    </row>
    <row r="13" spans="1:11" x14ac:dyDescent="0.25">
      <c r="A13">
        <v>5</v>
      </c>
      <c r="B13" t="s">
        <v>53</v>
      </c>
      <c r="C13" t="s">
        <v>21</v>
      </c>
      <c r="D13" s="2" t="s">
        <v>64</v>
      </c>
      <c r="E13">
        <v>2</v>
      </c>
      <c r="F13" t="s">
        <v>42</v>
      </c>
      <c r="H13">
        <v>1.3129999999999999</v>
      </c>
      <c r="I13">
        <v>8.718</v>
      </c>
      <c r="J13">
        <v>8.4749999999999996</v>
      </c>
      <c r="K13">
        <f t="shared" si="0"/>
        <v>0.24300000000000033</v>
      </c>
    </row>
    <row r="14" spans="1:11" x14ac:dyDescent="0.25">
      <c r="A14">
        <v>5</v>
      </c>
      <c r="B14" t="s">
        <v>53</v>
      </c>
      <c r="C14" t="s">
        <v>21</v>
      </c>
      <c r="D14" s="2" t="s">
        <v>64</v>
      </c>
      <c r="E14">
        <v>3</v>
      </c>
      <c r="F14" t="s">
        <v>42</v>
      </c>
      <c r="H14">
        <v>1.3120000000000001</v>
      </c>
      <c r="I14">
        <v>10.977</v>
      </c>
      <c r="J14">
        <v>10.653</v>
      </c>
      <c r="K14">
        <f t="shared" si="0"/>
        <v>0.32399999999999984</v>
      </c>
    </row>
    <row r="15" spans="1:11" x14ac:dyDescent="0.25">
      <c r="A15">
        <v>5</v>
      </c>
      <c r="B15" t="s">
        <v>25</v>
      </c>
      <c r="C15" t="s">
        <v>63</v>
      </c>
      <c r="D15" s="2" t="s">
        <v>58</v>
      </c>
      <c r="E15">
        <v>1</v>
      </c>
      <c r="H15">
        <v>1.31</v>
      </c>
      <c r="I15">
        <v>5.992</v>
      </c>
      <c r="J15">
        <v>5.9619999999999997</v>
      </c>
      <c r="K15">
        <f t="shared" si="0"/>
        <v>3.0000000000000249E-2</v>
      </c>
    </row>
    <row r="16" spans="1:11" x14ac:dyDescent="0.25">
      <c r="A16">
        <v>5</v>
      </c>
      <c r="B16" t="s">
        <v>25</v>
      </c>
      <c r="C16" t="s">
        <v>63</v>
      </c>
      <c r="D16" s="2" t="s">
        <v>58</v>
      </c>
      <c r="E16">
        <v>2</v>
      </c>
      <c r="H16">
        <v>1.3177000000000001</v>
      </c>
      <c r="I16">
        <v>8.4420000000000002</v>
      </c>
      <c r="J16">
        <v>8.3859999999999992</v>
      </c>
      <c r="K16">
        <f t="shared" si="0"/>
        <v>5.6000000000000938E-2</v>
      </c>
    </row>
    <row r="17" spans="1:11" x14ac:dyDescent="0.25">
      <c r="A17">
        <v>5</v>
      </c>
      <c r="B17" t="s">
        <v>25</v>
      </c>
      <c r="C17" t="s">
        <v>63</v>
      </c>
      <c r="D17" s="2" t="s">
        <v>58</v>
      </c>
      <c r="E17">
        <v>3</v>
      </c>
      <c r="H17">
        <v>1.3129999999999999</v>
      </c>
      <c r="I17">
        <v>9.5850000000000009</v>
      </c>
      <c r="J17">
        <v>9.5139999999999993</v>
      </c>
      <c r="K17">
        <f t="shared" si="0"/>
        <v>7.1000000000001506E-2</v>
      </c>
    </row>
    <row r="18" spans="1:11" x14ac:dyDescent="0.25">
      <c r="A18">
        <v>5</v>
      </c>
      <c r="B18" t="s">
        <v>25</v>
      </c>
      <c r="C18" t="s">
        <v>21</v>
      </c>
      <c r="D18" s="2" t="s">
        <v>58</v>
      </c>
      <c r="E18">
        <v>2</v>
      </c>
      <c r="H18">
        <v>1.3069999999999999</v>
      </c>
      <c r="I18">
        <v>7.3360000000000003</v>
      </c>
      <c r="J18">
        <v>6.3739999999999997</v>
      </c>
      <c r="K18">
        <f t="shared" si="0"/>
        <v>0.96200000000000063</v>
      </c>
    </row>
    <row r="19" spans="1:11" x14ac:dyDescent="0.25">
      <c r="A19">
        <v>5</v>
      </c>
      <c r="B19" t="s">
        <v>25</v>
      </c>
      <c r="C19" t="s">
        <v>21</v>
      </c>
      <c r="D19" s="2" t="s">
        <v>58</v>
      </c>
      <c r="E19">
        <v>3</v>
      </c>
      <c r="H19">
        <v>1.3149999999999999</v>
      </c>
      <c r="I19">
        <v>8.5709999999999997</v>
      </c>
      <c r="J19">
        <v>7.4320000000000004</v>
      </c>
      <c r="K19">
        <f t="shared" si="0"/>
        <v>1.1389999999999993</v>
      </c>
    </row>
    <row r="20" spans="1:11" x14ac:dyDescent="0.25">
      <c r="A20">
        <v>5</v>
      </c>
      <c r="B20" t="s">
        <v>25</v>
      </c>
      <c r="C20" t="s">
        <v>21</v>
      </c>
      <c r="D20" s="2" t="s">
        <v>58</v>
      </c>
      <c r="E20">
        <v>1</v>
      </c>
      <c r="H20">
        <v>1.31</v>
      </c>
      <c r="I20">
        <v>4.8079999999999998</v>
      </c>
      <c r="J20">
        <v>4.2549999999999999</v>
      </c>
      <c r="K20">
        <f t="shared" si="0"/>
        <v>0.55299999999999994</v>
      </c>
    </row>
    <row r="21" spans="1:11" x14ac:dyDescent="0.25">
      <c r="A21">
        <v>5</v>
      </c>
      <c r="B21" t="s">
        <v>53</v>
      </c>
      <c r="C21" t="s">
        <v>21</v>
      </c>
      <c r="D21" s="2" t="s">
        <v>55</v>
      </c>
      <c r="E21">
        <v>1</v>
      </c>
      <c r="F21" t="s">
        <v>39</v>
      </c>
      <c r="G21" t="s">
        <v>37</v>
      </c>
      <c r="H21">
        <v>1.3120000000000001</v>
      </c>
      <c r="I21">
        <v>7.57</v>
      </c>
      <c r="J21">
        <v>6.2080000000000002</v>
      </c>
      <c r="K21">
        <f t="shared" si="0"/>
        <v>1.3620000000000001</v>
      </c>
    </row>
    <row r="22" spans="1:11" x14ac:dyDescent="0.25">
      <c r="A22">
        <v>5</v>
      </c>
      <c r="B22" t="s">
        <v>53</v>
      </c>
      <c r="C22" t="s">
        <v>21</v>
      </c>
      <c r="D22" s="2" t="s">
        <v>55</v>
      </c>
      <c r="F22" t="s">
        <v>39</v>
      </c>
      <c r="G22" t="s">
        <v>37</v>
      </c>
      <c r="H22">
        <v>1.3120000000000001</v>
      </c>
      <c r="I22">
        <v>8.7840000000000007</v>
      </c>
      <c r="K22">
        <f t="shared" si="0"/>
        <v>8.7840000000000007</v>
      </c>
    </row>
    <row r="23" spans="1:11" x14ac:dyDescent="0.25">
      <c r="A23">
        <v>5</v>
      </c>
      <c r="B23" t="s">
        <v>53</v>
      </c>
      <c r="C23" t="s">
        <v>21</v>
      </c>
      <c r="D23" s="2" t="s">
        <v>55</v>
      </c>
      <c r="F23" t="s">
        <v>39</v>
      </c>
      <c r="G23" t="s">
        <v>37</v>
      </c>
      <c r="H23">
        <v>1.3160000000000001</v>
      </c>
      <c r="I23">
        <v>7.7430000000000003</v>
      </c>
      <c r="J23">
        <v>6.12</v>
      </c>
      <c r="K23">
        <f t="shared" si="0"/>
        <v>1.6230000000000002</v>
      </c>
    </row>
    <row r="24" spans="1:11" x14ac:dyDescent="0.25">
      <c r="A24">
        <v>5</v>
      </c>
      <c r="B24" t="s">
        <v>53</v>
      </c>
      <c r="C24" t="s">
        <v>21</v>
      </c>
      <c r="D24" s="2" t="s">
        <v>24</v>
      </c>
      <c r="E24">
        <v>1</v>
      </c>
      <c r="F24" t="s">
        <v>39</v>
      </c>
      <c r="G24" t="s">
        <v>37</v>
      </c>
      <c r="H24">
        <v>1.3169999999999999</v>
      </c>
      <c r="I24">
        <v>10.265000000000001</v>
      </c>
      <c r="J24">
        <v>8.4239999999999995</v>
      </c>
      <c r="K24">
        <f t="shared" si="0"/>
        <v>1.8410000000000011</v>
      </c>
    </row>
    <row r="25" spans="1:11" x14ac:dyDescent="0.25">
      <c r="A25">
        <v>5</v>
      </c>
      <c r="B25" t="s">
        <v>53</v>
      </c>
      <c r="C25" t="s">
        <v>21</v>
      </c>
      <c r="D25" s="2" t="s">
        <v>24</v>
      </c>
      <c r="E25">
        <v>2</v>
      </c>
      <c r="F25" t="s">
        <v>39</v>
      </c>
      <c r="G25" t="s">
        <v>37</v>
      </c>
      <c r="H25">
        <v>1.3120000000000001</v>
      </c>
      <c r="I25">
        <v>8.15</v>
      </c>
      <c r="J25">
        <v>7.12</v>
      </c>
      <c r="K25">
        <f t="shared" si="0"/>
        <v>1.0300000000000002</v>
      </c>
    </row>
    <row r="26" spans="1:11" x14ac:dyDescent="0.25">
      <c r="A26">
        <v>5</v>
      </c>
      <c r="B26" t="s">
        <v>53</v>
      </c>
      <c r="C26" t="s">
        <v>21</v>
      </c>
      <c r="D26" s="2" t="s">
        <v>24</v>
      </c>
      <c r="E26">
        <v>3</v>
      </c>
      <c r="F26" t="s">
        <v>39</v>
      </c>
      <c r="G26" t="s">
        <v>37</v>
      </c>
      <c r="H26">
        <v>1.3069999999999999</v>
      </c>
      <c r="I26">
        <v>10.432</v>
      </c>
      <c r="J26">
        <v>8.8230000000000004</v>
      </c>
      <c r="K26">
        <f t="shared" si="0"/>
        <v>1.609</v>
      </c>
    </row>
    <row r="27" spans="1:11" x14ac:dyDescent="0.25">
      <c r="A27">
        <v>5</v>
      </c>
      <c r="B27" t="s">
        <v>25</v>
      </c>
      <c r="C27" t="s">
        <v>59</v>
      </c>
      <c r="D27" t="s">
        <v>58</v>
      </c>
      <c r="E27">
        <v>3</v>
      </c>
      <c r="F27" t="s">
        <v>42</v>
      </c>
      <c r="G27" t="s">
        <v>37</v>
      </c>
      <c r="H27">
        <v>1.306</v>
      </c>
      <c r="I27">
        <v>10.538</v>
      </c>
      <c r="J27">
        <v>10.205</v>
      </c>
      <c r="K27">
        <f t="shared" si="0"/>
        <v>0.33300000000000018</v>
      </c>
    </row>
    <row r="28" spans="1:11" x14ac:dyDescent="0.25">
      <c r="A28">
        <v>5</v>
      </c>
      <c r="B28" t="s">
        <v>25</v>
      </c>
      <c r="C28" t="s">
        <v>59</v>
      </c>
      <c r="D28" t="s">
        <v>58</v>
      </c>
      <c r="E28">
        <v>2</v>
      </c>
      <c r="F28" t="s">
        <v>42</v>
      </c>
      <c r="G28" t="s">
        <v>37</v>
      </c>
      <c r="H28">
        <v>1.304</v>
      </c>
      <c r="I28">
        <v>9.391</v>
      </c>
      <c r="J28">
        <v>9.0709999999999997</v>
      </c>
      <c r="K28">
        <f t="shared" si="0"/>
        <v>0.32000000000000028</v>
      </c>
    </row>
    <row r="29" spans="1:11" x14ac:dyDescent="0.25">
      <c r="A29">
        <v>5</v>
      </c>
      <c r="B29" t="s">
        <v>25</v>
      </c>
      <c r="C29" t="s">
        <v>59</v>
      </c>
      <c r="D29" t="s">
        <v>58</v>
      </c>
      <c r="E29">
        <v>1</v>
      </c>
      <c r="F29" t="s">
        <v>42</v>
      </c>
      <c r="G29" t="s">
        <v>37</v>
      </c>
      <c r="H29">
        <v>1.306</v>
      </c>
      <c r="I29">
        <v>9.1780000000000008</v>
      </c>
      <c r="J29">
        <v>8.9339999999999993</v>
      </c>
      <c r="K29">
        <f t="shared" si="0"/>
        <v>0.24400000000000155</v>
      </c>
    </row>
    <row r="30" spans="1:11" x14ac:dyDescent="0.25">
      <c r="A30">
        <v>5</v>
      </c>
      <c r="B30" t="s">
        <v>25</v>
      </c>
      <c r="C30" t="s">
        <v>21</v>
      </c>
      <c r="D30" t="s">
        <v>58</v>
      </c>
      <c r="E30">
        <v>3</v>
      </c>
      <c r="F30" t="s">
        <v>42</v>
      </c>
      <c r="G30" t="s">
        <v>37</v>
      </c>
      <c r="H30">
        <v>1.304</v>
      </c>
      <c r="I30">
        <v>8.9700000000000006</v>
      </c>
      <c r="J30">
        <v>8.5500000000000007</v>
      </c>
      <c r="K30">
        <f t="shared" si="0"/>
        <v>0.41999999999999993</v>
      </c>
    </row>
    <row r="31" spans="1:11" x14ac:dyDescent="0.25">
      <c r="A31">
        <v>5</v>
      </c>
      <c r="B31" t="s">
        <v>25</v>
      </c>
      <c r="C31" t="s">
        <v>21</v>
      </c>
      <c r="D31" t="s">
        <v>58</v>
      </c>
      <c r="E31">
        <v>2</v>
      </c>
      <c r="F31" t="s">
        <v>42</v>
      </c>
      <c r="G31" t="s">
        <v>37</v>
      </c>
      <c r="H31">
        <v>1.3069999999999999</v>
      </c>
      <c r="I31">
        <v>11.78</v>
      </c>
      <c r="J31">
        <v>11.37</v>
      </c>
      <c r="K31">
        <f t="shared" si="0"/>
        <v>0.41000000000000014</v>
      </c>
    </row>
    <row r="32" spans="1:11" x14ac:dyDescent="0.25">
      <c r="A32">
        <v>5</v>
      </c>
      <c r="B32" t="s">
        <v>25</v>
      </c>
      <c r="C32" t="s">
        <v>21</v>
      </c>
      <c r="D32" t="s">
        <v>58</v>
      </c>
      <c r="E32">
        <v>1</v>
      </c>
      <c r="F32" t="s">
        <v>42</v>
      </c>
      <c r="G32" t="s">
        <v>37</v>
      </c>
      <c r="H32">
        <v>1.306</v>
      </c>
      <c r="I32">
        <v>9.39</v>
      </c>
      <c r="J32">
        <v>9.0410000000000004</v>
      </c>
      <c r="K32">
        <f t="shared" si="0"/>
        <v>0.3490000000000002</v>
      </c>
    </row>
    <row r="33" spans="1:11" x14ac:dyDescent="0.25">
      <c r="A33">
        <v>5</v>
      </c>
      <c r="B33" t="s">
        <v>25</v>
      </c>
      <c r="C33" t="s">
        <v>59</v>
      </c>
      <c r="D33" t="s">
        <v>58</v>
      </c>
      <c r="E33">
        <v>1</v>
      </c>
      <c r="F33" t="s">
        <v>42</v>
      </c>
      <c r="G33" t="s">
        <v>37</v>
      </c>
      <c r="H33">
        <v>1.306</v>
      </c>
      <c r="I33">
        <v>10.848000000000001</v>
      </c>
      <c r="J33">
        <v>10.711</v>
      </c>
      <c r="K33">
        <f t="shared" si="0"/>
        <v>0.13700000000000045</v>
      </c>
    </row>
    <row r="34" spans="1:11" x14ac:dyDescent="0.25">
      <c r="A34">
        <v>5</v>
      </c>
      <c r="B34" t="s">
        <v>25</v>
      </c>
      <c r="C34" t="s">
        <v>59</v>
      </c>
      <c r="D34" t="s">
        <v>58</v>
      </c>
      <c r="E34">
        <v>2</v>
      </c>
      <c r="F34" t="s">
        <v>42</v>
      </c>
      <c r="G34" t="s">
        <v>37</v>
      </c>
      <c r="H34">
        <v>1.3069999999999999</v>
      </c>
      <c r="I34">
        <v>13.055</v>
      </c>
      <c r="J34">
        <v>12.898</v>
      </c>
      <c r="K34">
        <f t="shared" si="0"/>
        <v>0.15700000000000003</v>
      </c>
    </row>
    <row r="35" spans="1:11" x14ac:dyDescent="0.25">
      <c r="A35">
        <v>5</v>
      </c>
      <c r="B35" t="s">
        <v>25</v>
      </c>
      <c r="C35" t="s">
        <v>59</v>
      </c>
      <c r="D35" t="s">
        <v>58</v>
      </c>
      <c r="E35">
        <v>3</v>
      </c>
      <c r="F35" t="s">
        <v>42</v>
      </c>
      <c r="G35" t="s">
        <v>37</v>
      </c>
      <c r="H35">
        <v>1.3140000000000001</v>
      </c>
      <c r="I35">
        <v>11.574999999999999</v>
      </c>
      <c r="J35">
        <v>11.439</v>
      </c>
      <c r="K35">
        <f t="shared" si="0"/>
        <v>0.13599999999999923</v>
      </c>
    </row>
    <row r="36" spans="1:11" x14ac:dyDescent="0.25">
      <c r="A36">
        <v>5</v>
      </c>
      <c r="B36" t="s">
        <v>53</v>
      </c>
      <c r="C36" t="s">
        <v>59</v>
      </c>
      <c r="D36" t="s">
        <v>24</v>
      </c>
      <c r="E36">
        <v>1</v>
      </c>
      <c r="F36" t="s">
        <v>39</v>
      </c>
      <c r="G36" t="s">
        <v>37</v>
      </c>
      <c r="H36">
        <v>1.3109999999999999</v>
      </c>
      <c r="I36">
        <v>11.201000000000001</v>
      </c>
      <c r="K36">
        <f t="shared" si="0"/>
        <v>11.201000000000001</v>
      </c>
    </row>
    <row r="37" spans="1:11" x14ac:dyDescent="0.25">
      <c r="A37">
        <v>5</v>
      </c>
      <c r="B37" t="s">
        <v>53</v>
      </c>
      <c r="C37" t="s">
        <v>59</v>
      </c>
      <c r="D37" t="s">
        <v>24</v>
      </c>
      <c r="E37">
        <v>2</v>
      </c>
      <c r="F37" t="s">
        <v>39</v>
      </c>
      <c r="G37" t="s">
        <v>37</v>
      </c>
      <c r="H37">
        <v>1.3120000000000001</v>
      </c>
      <c r="I37">
        <v>9.4149999999999991</v>
      </c>
      <c r="K37">
        <f t="shared" si="0"/>
        <v>9.4149999999999991</v>
      </c>
    </row>
    <row r="38" spans="1:11" x14ac:dyDescent="0.25">
      <c r="A38">
        <v>5</v>
      </c>
      <c r="B38" t="s">
        <v>53</v>
      </c>
      <c r="C38" t="s">
        <v>59</v>
      </c>
      <c r="D38" t="s">
        <v>24</v>
      </c>
      <c r="E38">
        <v>3</v>
      </c>
      <c r="F38" t="s">
        <v>39</v>
      </c>
      <c r="G38" t="s">
        <v>37</v>
      </c>
      <c r="H38">
        <v>1.3120000000000001</v>
      </c>
      <c r="I38">
        <v>11.177</v>
      </c>
      <c r="K38">
        <f t="shared" si="0"/>
        <v>11.177</v>
      </c>
    </row>
    <row r="39" spans="1:11" x14ac:dyDescent="0.25">
      <c r="A39">
        <v>5</v>
      </c>
      <c r="B39" t="s">
        <v>53</v>
      </c>
      <c r="C39" t="s">
        <v>59</v>
      </c>
      <c r="D39" t="s">
        <v>55</v>
      </c>
      <c r="E39">
        <v>1</v>
      </c>
      <c r="F39" t="s">
        <v>65</v>
      </c>
      <c r="G39" t="s">
        <v>37</v>
      </c>
      <c r="H39">
        <v>1.3120000000000001</v>
      </c>
      <c r="I39">
        <v>7.3789999999999996</v>
      </c>
      <c r="K39">
        <f t="shared" si="0"/>
        <v>7.3789999999999996</v>
      </c>
    </row>
    <row r="40" spans="1:11" x14ac:dyDescent="0.25">
      <c r="A40">
        <v>5</v>
      </c>
      <c r="B40" t="s">
        <v>53</v>
      </c>
      <c r="C40" t="s">
        <v>59</v>
      </c>
      <c r="D40" t="s">
        <v>55</v>
      </c>
      <c r="E40">
        <v>2</v>
      </c>
      <c r="F40" t="s">
        <v>65</v>
      </c>
      <c r="G40" t="s">
        <v>37</v>
      </c>
      <c r="H40">
        <v>1.3120000000000001</v>
      </c>
      <c r="I40">
        <v>7.9969999999999999</v>
      </c>
      <c r="K40">
        <f t="shared" si="0"/>
        <v>7.9969999999999999</v>
      </c>
    </row>
    <row r="41" spans="1:11" x14ac:dyDescent="0.25">
      <c r="A41">
        <v>5</v>
      </c>
      <c r="B41" t="s">
        <v>53</v>
      </c>
      <c r="C41" t="s">
        <v>59</v>
      </c>
      <c r="D41" t="s">
        <v>55</v>
      </c>
      <c r="E41">
        <v>3</v>
      </c>
      <c r="F41" t="s">
        <v>65</v>
      </c>
      <c r="G41" t="s">
        <v>37</v>
      </c>
      <c r="H41">
        <v>1.3109999999999999</v>
      </c>
      <c r="I41">
        <v>9.3260000000000005</v>
      </c>
      <c r="K41">
        <f t="shared" si="0"/>
        <v>9.3260000000000005</v>
      </c>
    </row>
    <row r="42" spans="1:11" x14ac:dyDescent="0.25">
      <c r="A42">
        <v>5</v>
      </c>
      <c r="B42" t="s">
        <v>25</v>
      </c>
      <c r="C42" t="s">
        <v>63</v>
      </c>
      <c r="D42" t="s">
        <v>58</v>
      </c>
      <c r="E42">
        <v>1</v>
      </c>
      <c r="F42" t="s">
        <v>39</v>
      </c>
      <c r="G42" t="s">
        <v>37</v>
      </c>
      <c r="H42">
        <v>1.3089999999999999</v>
      </c>
      <c r="I42">
        <v>9.4529999999999994</v>
      </c>
      <c r="K42">
        <f t="shared" si="0"/>
        <v>9.4529999999999994</v>
      </c>
    </row>
    <row r="43" spans="1:11" x14ac:dyDescent="0.25">
      <c r="A43">
        <v>5</v>
      </c>
      <c r="B43" t="s">
        <v>25</v>
      </c>
      <c r="C43" t="s">
        <v>63</v>
      </c>
      <c r="D43" t="s">
        <v>58</v>
      </c>
      <c r="E43">
        <v>2</v>
      </c>
      <c r="F43" t="s">
        <v>39</v>
      </c>
      <c r="G43" t="s">
        <v>37</v>
      </c>
      <c r="H43">
        <v>1.31</v>
      </c>
      <c r="I43">
        <v>10.265000000000001</v>
      </c>
      <c r="K43">
        <f t="shared" si="0"/>
        <v>10.265000000000001</v>
      </c>
    </row>
    <row r="44" spans="1:11" x14ac:dyDescent="0.25">
      <c r="A44">
        <v>5</v>
      </c>
      <c r="B44" t="s">
        <v>25</v>
      </c>
      <c r="C44" t="s">
        <v>63</v>
      </c>
      <c r="D44" t="s">
        <v>58</v>
      </c>
      <c r="E44">
        <v>3</v>
      </c>
      <c r="F44" t="s">
        <v>39</v>
      </c>
      <c r="G44" t="s">
        <v>37</v>
      </c>
      <c r="H44">
        <v>1.3080000000000001</v>
      </c>
      <c r="I44">
        <v>10.372999999999999</v>
      </c>
      <c r="K44">
        <f t="shared" si="0"/>
        <v>10.372999999999999</v>
      </c>
    </row>
    <row r="45" spans="1:11" x14ac:dyDescent="0.25">
      <c r="A45">
        <v>5</v>
      </c>
      <c r="B45" t="s">
        <v>53</v>
      </c>
      <c r="C45" t="s">
        <v>59</v>
      </c>
      <c r="D45" t="s">
        <v>55</v>
      </c>
      <c r="E45">
        <v>1</v>
      </c>
      <c r="F45" t="s">
        <v>39</v>
      </c>
      <c r="G45" t="s">
        <v>37</v>
      </c>
      <c r="H45">
        <v>1.3069999999999999</v>
      </c>
      <c r="I45">
        <v>7.5410000000000004</v>
      </c>
      <c r="K45">
        <f t="shared" si="0"/>
        <v>7.5410000000000004</v>
      </c>
    </row>
    <row r="46" spans="1:11" x14ac:dyDescent="0.25">
      <c r="A46">
        <v>5</v>
      </c>
      <c r="B46" t="s">
        <v>53</v>
      </c>
      <c r="C46" t="s">
        <v>59</v>
      </c>
      <c r="D46" t="s">
        <v>55</v>
      </c>
      <c r="E46">
        <v>2</v>
      </c>
      <c r="F46" t="s">
        <v>39</v>
      </c>
      <c r="G46" t="s">
        <v>37</v>
      </c>
      <c r="H46">
        <v>1.3080000000000001</v>
      </c>
      <c r="I46">
        <v>7.5129999999999999</v>
      </c>
      <c r="K46">
        <f t="shared" si="0"/>
        <v>7.5129999999999999</v>
      </c>
    </row>
    <row r="47" spans="1:11" x14ac:dyDescent="0.25">
      <c r="A47">
        <v>5</v>
      </c>
      <c r="B47" t="s">
        <v>53</v>
      </c>
      <c r="C47" t="s">
        <v>59</v>
      </c>
      <c r="D47" t="s">
        <v>55</v>
      </c>
      <c r="E47">
        <v>3</v>
      </c>
      <c r="F47" t="s">
        <v>39</v>
      </c>
      <c r="G47" t="s">
        <v>37</v>
      </c>
      <c r="H47">
        <v>1.3140000000000001</v>
      </c>
      <c r="I47">
        <v>7.7309999999999999</v>
      </c>
      <c r="K47">
        <f t="shared" si="0"/>
        <v>7.7309999999999999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</vt:lpstr>
      <vt:lpstr>Lab</vt:lpstr>
      <vt:lpstr>Moisture Content</vt:lpstr>
      <vt:lpstr>Carbon Content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Howley,Samantha T</dc:creator>
  <cp:lastModifiedBy>Howley,Samantha T</cp:lastModifiedBy>
  <dcterms:created xsi:type="dcterms:W3CDTF">2026-04-02T17:21:10Z</dcterms:created>
  <dcterms:modified xsi:type="dcterms:W3CDTF">2026-04-09T16:23:08Z</dcterms:modified>
</cp:coreProperties>
</file>