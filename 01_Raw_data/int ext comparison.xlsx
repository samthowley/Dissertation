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sertation\01_Raw_data\"/>
    </mc:Choice>
  </mc:AlternateContent>
  <xr:revisionPtr revIDLastSave="0" documentId="13_ncr:1_{BDBED74E-166A-4544-A763-05B321DA6AF6}" xr6:coauthVersionLast="47" xr6:coauthVersionMax="47" xr10:uidLastSave="{00000000-0000-0000-0000-000000000000}"/>
  <bookViews>
    <workbookView xWindow="25080" yWindow="-3480" windowWidth="29040" windowHeight="15720" xr2:uid="{20ADC1DF-BCBF-4D0C-80F3-E4EAD061E5F3}"/>
  </bookViews>
  <sheets>
    <sheet name="Sheet1" sheetId="1" r:id="rId1"/>
  </sheets>
  <definedNames>
    <definedName name="_xlnm._FilterDatabase" localSheetId="0" hidden="1">Sheet1!$A$1:$AD$25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F4" i="1"/>
  <c r="G3" i="1"/>
  <c r="M4" i="1"/>
  <c r="O4" i="1" s="1"/>
  <c r="L4" i="1"/>
  <c r="P4" i="1" s="1"/>
  <c r="J4" i="1"/>
  <c r="I4" i="1"/>
  <c r="J3" i="1"/>
  <c r="I3" i="1"/>
  <c r="M3" i="1"/>
  <c r="O3" i="1" s="1"/>
  <c r="L3" i="1"/>
  <c r="P3" i="1" s="1"/>
  <c r="G5" i="1"/>
  <c r="E12" i="1"/>
  <c r="P2" i="1"/>
  <c r="O2" i="1"/>
  <c r="N2" i="1" s="1"/>
  <c r="M2" i="1"/>
  <c r="L2" i="1"/>
  <c r="K2" i="1" l="1"/>
</calcChain>
</file>

<file path=xl/sharedStrings.xml><?xml version="1.0" encoding="utf-8"?>
<sst xmlns="http://schemas.openxmlformats.org/spreadsheetml/2006/main" count="229" uniqueCount="109">
  <si>
    <t>Source</t>
  </si>
  <si>
    <t>Site</t>
  </si>
  <si>
    <t>Location</t>
  </si>
  <si>
    <t>Biome</t>
  </si>
  <si>
    <t>Q mean (m³/s)</t>
  </si>
  <si>
    <t>Q min (m³/s)</t>
  </si>
  <si>
    <t>Q max (m³/s)</t>
  </si>
  <si>
    <t>Notes</t>
  </si>
  <si>
    <t>Krycklan C5–C6</t>
  </si>
  <si>
    <t>Sweden</t>
  </si>
  <si>
    <t>Boreal</t>
  </si>
  <si>
    <t>NR</t>
  </si>
  <si>
    <t>Single ice-free season; internal flux as % range only; Q values are spatial min/max at C6; mean Q estimated as midpoint</t>
  </si>
  <si>
    <t>Bernal et al. 2022</t>
  </si>
  <si>
    <t>Fuirosos</t>
  </si>
  <si>
    <t>Catalonia, Spain</t>
  </si>
  <si>
    <t>Mediterranean</t>
  </si>
  <si>
    <t>Non-perennial stream; study period May–June only; Q min/max not reported</t>
  </si>
  <si>
    <t>Font del Regàs</t>
  </si>
  <si>
    <t>Perennial stream; limited CO₂ sensor data due to fouling; NEP dominates at both sites</t>
  </si>
  <si>
    <t>Kirk &amp;amp; Cohen</t>
  </si>
  <si>
    <t>DRAIN</t>
  </si>
  <si>
    <t>Santa Fe River, FL, USA</t>
  </si>
  <si>
    <t>Subtropical</t>
  </si>
  <si>
    <t>2nd order blackwater; site-level CO₂ flux not individually reported</t>
  </si>
  <si>
    <t>SF700</t>
  </si>
  <si>
    <t>3rd order blackwater; limited record Jan–Feb only</t>
  </si>
  <si>
    <t>SF1000</t>
  </si>
  <si>
    <t>3rd order blackwater</t>
  </si>
  <si>
    <t>SF1500</t>
  </si>
  <si>
    <t>4th order blackwater; most complete record of all SF sites</t>
  </si>
  <si>
    <t>ICHE</t>
  </si>
  <si>
    <t>Spring-fed; GPP≈ER so NEP≈0; aquifer dominates CO₂ flux; river corridor contributes only 10%</t>
  </si>
  <si>
    <t>SF2500</t>
  </si>
  <si>
    <t>5th order; karst spring-dominated lower basin</t>
  </si>
  <si>
    <t>SF2800</t>
  </si>
  <si>
    <t>5th order; very limited record (September only)</t>
  </si>
  <si>
    <t>Santa Fe River network mean</t>
  </si>
  <si>
    <t>FL, USA</t>
  </si>
  <si>
    <t>Network mean across 7 sites; NEP+RIP accounts for 87% of emission; upper vs lower basin partitioning differs strongly</t>
  </si>
  <si>
    <t>Borges et al.</t>
  </si>
  <si>
    <t>Congo River network</t>
  </si>
  <si>
    <t>DRC, Central Africa</t>
  </si>
  <si>
    <t>Tropical</t>
  </si>
  <si>
    <t>Large tropical network; lateral inputs dominate; internal flux is NCP not ER-based NEP; FCO₂:CR ratio 3–139 by stream order</t>
  </si>
  <si>
    <t>Duvert et al.</t>
  </si>
  <si>
    <t>Daly River</t>
  </si>
  <si>
    <t>Northern Territory, Australia</t>
  </si>
  <si>
    <t>Tropical savanna</t>
  </si>
  <si>
    <t>Dry season baseflow only; groundwater-fed; Q range is spatial not temporal; NEP not measured</t>
  </si>
  <si>
    <t>Howard River</t>
  </si>
  <si>
    <t>Dry season baseflow only; losing reach upstream; Q range is spatial not temporal; NEP not measured</t>
  </si>
  <si>
    <t>Oviedo-Vargas et al.</t>
  </si>
  <si>
    <t>Taconazo</t>
  </si>
  <si>
    <t>La Selva, Costa Rica</t>
  </si>
  <si>
    <t>Tropical wet forest</t>
  </si>
  <si>
    <t>Headwater tropical stream; all values are medians; groundwater dominates external flux; 180-day monitoring period</t>
  </si>
  <si>
    <t>Rocher-Ros et al.</t>
  </si>
  <si>
    <t>Miellajokka catchment</t>
  </si>
  <si>
    <t>Arctic Sweden</t>
  </si>
  <si>
    <t>Arctic tundra</t>
  </si>
  <si>
    <t>Network of 45 km of streams; CO₂ flux values estimated from figures; NEP not partitioned; supply vs. transfer limitation focus</t>
  </si>
  <si>
    <t>Lupon et al.</t>
  </si>
  <si>
    <t>M1–M17 network average</t>
  </si>
  <si>
    <t>Pyrenean streams, Spain</t>
  </si>
  <si>
    <t>Temperate montane</t>
  </si>
  <si>
    <t>NEP exceeds CO₂ flux on average (80–182% by site); metabolism dominant; external flux effectively zero at network scale</t>
  </si>
  <si>
    <t>Carter et al. 2022</t>
  </si>
  <si>
    <t>New Hope Creek</t>
  </si>
  <si>
    <t>NC, USA</t>
  </si>
  <si>
    <t>Temperate forest</t>
  </si>
  <si>
    <t>Low-gradient 3rd order pool-dominated stream; storm events shift dominance to external sources; Nov–Mar study period</t>
  </si>
  <si>
    <t>Cole &amp;amp; Caraco 2001</t>
  </si>
  <si>
    <t>Hudson River</t>
  </si>
  <si>
    <t>NY, USA</t>
  </si>
  <si>
    <t>Temperate</t>
  </si>
  <si>
    <t>8th order large river; annual budget approach; NEP estimate includes O₂ flux and DIC export; not directly comparable to daily flux studies</t>
  </si>
  <si>
    <t>Demars</t>
  </si>
  <si>
    <t>Cairn Burn</t>
  </si>
  <si>
    <t>Scotland, UK</t>
  </si>
  <si>
    <t>Temperate oceanic</t>
  </si>
  <si>
    <t>Flow pulse-driven ER; CO₂ flux reported as % of total C flux only; absolute evasion flux not derivable from text</t>
  </si>
  <si>
    <t>Birnie Burn</t>
  </si>
  <si>
    <t>ECN paired stream to Cairn Burn; same data limitations; high post-flood ER pulses up to 13.1 g C/m²/day</t>
  </si>
  <si>
    <t>Deirmendjian et al.</t>
  </si>
  <si>
    <t>Nyong watershed network average</t>
  </si>
  <si>
    <t>Cameroon, Central Africa</t>
  </si>
  <si>
    <t>Tropical humid</t>
  </si>
  <si>
    <t>Stream orders 1–6; wetland-dominated C inputs; only ~10% of CO₂ flux from in-stream respiration; order 1 dries seasonally</t>
  </si>
  <si>
    <t>Schade et al.</t>
  </si>
  <si>
    <t>Côte-Nord boreal streams network average</t>
  </si>
  <si>
    <t>Québec, Canada</t>
  </si>
  <si>
    <t>43 streams; DOC degradation (76%) and CH₄ oxidation (10%) dominate CO₂ flux; no stream metabolism measurements</t>
  </si>
  <si>
    <t>Lynch</t>
  </si>
  <si>
    <t>Clark Fork River</t>
  </si>
  <si>
    <t>Montana, USA</t>
  </si>
  <si>
    <t>Semi-arid montane</t>
  </si>
  <si>
    <t>Semi-arid mountain river; NEP nearly equals CO₂ flux; 5-year composite dataset; annual flux converted to daily mean</t>
  </si>
  <si>
    <t>Lynch et al. 2010</t>
  </si>
  <si>
    <t>int.min</t>
  </si>
  <si>
    <t>int.max</t>
  </si>
  <si>
    <t>int</t>
  </si>
  <si>
    <t>CO2tot.max</t>
  </si>
  <si>
    <t>CO2tot.min</t>
  </si>
  <si>
    <t>CO2tot.mean</t>
  </si>
  <si>
    <t>ext.mn</t>
  </si>
  <si>
    <t>ext.min</t>
  </si>
  <si>
    <t>ext.max</t>
  </si>
  <si>
    <t>Kirk and Cohen et al.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</si>
</sst>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9214-6FDB-461D-8328-E333A8E17C24}">
  <sheetPr filterMode="1"/>
  <dimension ref="A1:Q25"/>
  <sheetViews>
    <sheetView tabSelected="1" topLeftCell="F1" workbookViewId="0">
      <selection activeCell="J41" sqref="J41"/>
    </sheetView>
  </sheetViews>
  <sheetFormatPr defaultRowHeight="15" x14ac:dyDescent="0.25"/>
  <cols>
    <col min="1" max="1" width="22.7109375" bestFit="1" customWidth="1"/>
    <col min="2" max="2" width="15.28515625" customWidth="1"/>
    <col min="3" max="3" width="26.140625" bestFit="1" customWidth="1"/>
    <col min="5" max="5" width="16.28515625" bestFit="1" customWidth="1"/>
    <col min="6" max="6" width="14.5703125" bestFit="1" customWidth="1"/>
    <col min="7" max="7" width="12.5703125" bestFit="1" customWidth="1"/>
    <col min="8" max="8" width="25.140625" bestFit="1" customWidth="1"/>
    <col min="9" max="9" width="23.5703125" bestFit="1" customWidth="1"/>
    <col min="10" max="10" width="23.85546875" bestFit="1" customWidth="1"/>
    <col min="11" max="11" width="27.7109375" bestFit="1" customWidth="1"/>
    <col min="12" max="13" width="27.7109375" customWidth="1"/>
    <col min="14" max="14" width="23.42578125" bestFit="1" customWidth="1"/>
    <col min="15" max="16" width="23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104</v>
      </c>
      <c r="I1" t="s">
        <v>103</v>
      </c>
      <c r="J1" t="s">
        <v>102</v>
      </c>
      <c r="K1" t="s">
        <v>101</v>
      </c>
      <c r="L1" t="s">
        <v>99</v>
      </c>
      <c r="M1" t="s">
        <v>100</v>
      </c>
      <c r="N1" t="s">
        <v>105</v>
      </c>
      <c r="O1" t="s">
        <v>106</v>
      </c>
      <c r="P1" t="s">
        <v>107</v>
      </c>
      <c r="Q1" t="s">
        <v>7</v>
      </c>
    </row>
    <row r="2" spans="1:17" hidden="1" x14ac:dyDescent="0.25">
      <c r="A2" t="s">
        <v>98</v>
      </c>
      <c r="B2" t="s">
        <v>8</v>
      </c>
      <c r="C2" t="s">
        <v>9</v>
      </c>
      <c r="D2" t="s">
        <v>10</v>
      </c>
      <c r="E2">
        <v>8.6999999999999994E-3</v>
      </c>
      <c r="F2">
        <v>2.8E-3</v>
      </c>
      <c r="G2">
        <v>1.46E-2</v>
      </c>
      <c r="H2">
        <v>7.18</v>
      </c>
      <c r="I2">
        <v>0.39</v>
      </c>
      <c r="J2">
        <v>13.97</v>
      </c>
      <c r="K2">
        <f>AVERAGE(L2:M2)</f>
        <v>4.7498000000000005</v>
      </c>
      <c r="L2">
        <f>J2*0.17</f>
        <v>2.3749000000000002</v>
      </c>
      <c r="M2">
        <f>J2*0.51</f>
        <v>7.1247000000000007</v>
      </c>
      <c r="N2">
        <f>AVERAGE(O2:P2)</f>
        <v>9.2202000000000002</v>
      </c>
      <c r="O2">
        <f>J2*0.49</f>
        <v>6.8452999999999999</v>
      </c>
      <c r="P2">
        <f>J2*0.83</f>
        <v>11.5951</v>
      </c>
      <c r="Q2" t="s">
        <v>12</v>
      </c>
    </row>
    <row r="3" spans="1:17" hidden="1" x14ac:dyDescent="0.25">
      <c r="A3" t="s">
        <v>13</v>
      </c>
      <c r="B3" t="s">
        <v>14</v>
      </c>
      <c r="C3" t="s">
        <v>15</v>
      </c>
      <c r="D3" t="s">
        <v>16</v>
      </c>
      <c r="E3">
        <v>3.8999999999999998E-3</v>
      </c>
      <c r="F3">
        <v>0</v>
      </c>
      <c r="G3">
        <f>5/10^3</f>
        <v>5.0000000000000001E-3</v>
      </c>
      <c r="H3">
        <v>2.57</v>
      </c>
      <c r="I3">
        <f>H3-0.15</f>
        <v>2.42</v>
      </c>
      <c r="J3">
        <f>H3+0.15</f>
        <v>2.7199999999999998</v>
      </c>
      <c r="K3">
        <v>1.3</v>
      </c>
      <c r="L3">
        <f>K3-0.13</f>
        <v>1.17</v>
      </c>
      <c r="M3">
        <f>K3+0.13</f>
        <v>1.4300000000000002</v>
      </c>
      <c r="N3">
        <v>1.27</v>
      </c>
      <c r="O3">
        <f>H3-M3</f>
        <v>1.1399999999999997</v>
      </c>
      <c r="P3">
        <f>H3-L3</f>
        <v>1.4</v>
      </c>
      <c r="Q3" t="s">
        <v>17</v>
      </c>
    </row>
    <row r="4" spans="1:17" hidden="1" x14ac:dyDescent="0.25">
      <c r="A4" t="s">
        <v>13</v>
      </c>
      <c r="B4" t="s">
        <v>18</v>
      </c>
      <c r="C4" t="s">
        <v>15</v>
      </c>
      <c r="D4" t="s">
        <v>16</v>
      </c>
      <c r="E4">
        <v>5.8200000000000002E-2</v>
      </c>
      <c r="F4">
        <f>40/10^3</f>
        <v>0.04</v>
      </c>
      <c r="G4">
        <f>65/10^3</f>
        <v>6.5000000000000002E-2</v>
      </c>
      <c r="H4">
        <v>6.7</v>
      </c>
      <c r="I4">
        <f>H4-0.34</f>
        <v>6.36</v>
      </c>
      <c r="J4">
        <f>H4+0.34</f>
        <v>7.04</v>
      </c>
      <c r="K4">
        <v>3.84</v>
      </c>
      <c r="L4">
        <f>K4-0.05</f>
        <v>3.79</v>
      </c>
      <c r="M4">
        <f>K4+0.05</f>
        <v>3.8899999999999997</v>
      </c>
      <c r="N4">
        <v>2.86</v>
      </c>
      <c r="O4">
        <f>H4-M4</f>
        <v>2.8100000000000005</v>
      </c>
      <c r="P4">
        <f>H4-L4</f>
        <v>2.91</v>
      </c>
      <c r="Q4" t="s">
        <v>19</v>
      </c>
    </row>
    <row r="5" spans="1:17" hidden="1" x14ac:dyDescent="0.25">
      <c r="A5" t="s">
        <v>108</v>
      </c>
      <c r="B5" t="s">
        <v>21</v>
      </c>
      <c r="C5" t="s">
        <v>22</v>
      </c>
      <c r="D5" t="s">
        <v>23</v>
      </c>
      <c r="E5">
        <v>0.02</v>
      </c>
      <c r="F5">
        <v>0</v>
      </c>
      <c r="G5">
        <f>E5+0.16</f>
        <v>0.18</v>
      </c>
      <c r="H5" t="s">
        <v>11</v>
      </c>
      <c r="I5" t="s">
        <v>11</v>
      </c>
      <c r="J5" t="s">
        <v>11</v>
      </c>
      <c r="K5" t="s">
        <v>11</v>
      </c>
      <c r="N5" t="s">
        <v>11</v>
      </c>
      <c r="Q5" t="s">
        <v>24</v>
      </c>
    </row>
    <row r="6" spans="1:17" hidden="1" x14ac:dyDescent="0.25">
      <c r="A6" t="s">
        <v>20</v>
      </c>
      <c r="B6" t="s">
        <v>25</v>
      </c>
      <c r="C6" t="s">
        <v>22</v>
      </c>
      <c r="D6" t="s">
        <v>23</v>
      </c>
      <c r="E6">
        <v>0.5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N6" t="s">
        <v>11</v>
      </c>
      <c r="Q6" t="s">
        <v>26</v>
      </c>
    </row>
    <row r="7" spans="1:17" hidden="1" x14ac:dyDescent="0.25">
      <c r="A7" t="s">
        <v>20</v>
      </c>
      <c r="B7" t="s">
        <v>27</v>
      </c>
      <c r="C7" t="s">
        <v>22</v>
      </c>
      <c r="D7" t="s">
        <v>23</v>
      </c>
      <c r="E7">
        <v>0.4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  <c r="N7" t="s">
        <v>11</v>
      </c>
      <c r="Q7" t="s">
        <v>28</v>
      </c>
    </row>
    <row r="8" spans="1:17" hidden="1" x14ac:dyDescent="0.25">
      <c r="A8" t="s">
        <v>20</v>
      </c>
      <c r="B8" t="s">
        <v>29</v>
      </c>
      <c r="C8" t="s">
        <v>22</v>
      </c>
      <c r="D8" t="s">
        <v>23</v>
      </c>
      <c r="E8">
        <v>1.8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  <c r="N8" t="s">
        <v>11</v>
      </c>
      <c r="Q8" t="s">
        <v>30</v>
      </c>
    </row>
    <row r="9" spans="1:17" s="1" customFormat="1" hidden="1" x14ac:dyDescent="0.25">
      <c r="A9" s="1" t="s">
        <v>20</v>
      </c>
      <c r="B9" s="1" t="s">
        <v>31</v>
      </c>
      <c r="C9" s="1" t="s">
        <v>22</v>
      </c>
      <c r="D9" s="1" t="s">
        <v>23</v>
      </c>
      <c r="E9" s="1">
        <v>9.6</v>
      </c>
      <c r="F9" s="1" t="s">
        <v>11</v>
      </c>
      <c r="G9" s="1" t="s">
        <v>11</v>
      </c>
      <c r="H9" s="1">
        <v>4.7</v>
      </c>
      <c r="I9" s="1" t="s">
        <v>11</v>
      </c>
      <c r="J9" s="1" t="s">
        <v>11</v>
      </c>
      <c r="K9" s="1">
        <v>0</v>
      </c>
      <c r="N9" s="1">
        <v>4.7</v>
      </c>
      <c r="Q9" s="1" t="s">
        <v>32</v>
      </c>
    </row>
    <row r="10" spans="1:17" hidden="1" x14ac:dyDescent="0.25">
      <c r="A10" t="s">
        <v>20</v>
      </c>
      <c r="B10" t="s">
        <v>33</v>
      </c>
      <c r="C10" t="s">
        <v>22</v>
      </c>
      <c r="D10" t="s">
        <v>23</v>
      </c>
      <c r="E10">
        <v>38.299999999999997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  <c r="N10" t="s">
        <v>11</v>
      </c>
      <c r="Q10" t="s">
        <v>34</v>
      </c>
    </row>
    <row r="11" spans="1:17" hidden="1" x14ac:dyDescent="0.25">
      <c r="A11" t="s">
        <v>20</v>
      </c>
      <c r="B11" t="s">
        <v>35</v>
      </c>
      <c r="C11" t="s">
        <v>22</v>
      </c>
      <c r="D11" t="s">
        <v>23</v>
      </c>
      <c r="E11">
        <v>50.9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  <c r="N11" t="s">
        <v>11</v>
      </c>
      <c r="Q11" t="s">
        <v>36</v>
      </c>
    </row>
    <row r="12" spans="1:17" hidden="1" x14ac:dyDescent="0.25">
      <c r="A12" t="s">
        <v>20</v>
      </c>
      <c r="B12" t="s">
        <v>37</v>
      </c>
      <c r="C12" t="s">
        <v>38</v>
      </c>
      <c r="D12" t="s">
        <v>23</v>
      </c>
      <c r="E12">
        <f>AVERAGE(E10:E11,E5:E8)</f>
        <v>15.319999999999999</v>
      </c>
      <c r="F12">
        <v>0.02</v>
      </c>
      <c r="G12" t="s">
        <v>11</v>
      </c>
      <c r="H12">
        <v>5.7</v>
      </c>
      <c r="I12" t="s">
        <v>11</v>
      </c>
      <c r="J12" t="s">
        <v>11</v>
      </c>
      <c r="K12">
        <v>2.2999999999999998</v>
      </c>
      <c r="N12">
        <v>3.4</v>
      </c>
      <c r="Q12" t="s">
        <v>39</v>
      </c>
    </row>
    <row r="13" spans="1:17" hidden="1" x14ac:dyDescent="0.25">
      <c r="A13" t="s">
        <v>40</v>
      </c>
      <c r="B13" t="s">
        <v>41</v>
      </c>
      <c r="C13" t="s">
        <v>42</v>
      </c>
      <c r="D13" t="s">
        <v>43</v>
      </c>
      <c r="E13" t="s">
        <v>11</v>
      </c>
      <c r="F13" t="s">
        <v>11</v>
      </c>
      <c r="G13" t="s">
        <v>11</v>
      </c>
      <c r="H13">
        <v>8.8800000000000008</v>
      </c>
      <c r="I13" t="s">
        <v>11</v>
      </c>
      <c r="J13" t="s">
        <v>11</v>
      </c>
      <c r="K13">
        <v>0.9</v>
      </c>
      <c r="N13">
        <v>7.98</v>
      </c>
      <c r="Q13" t="s">
        <v>44</v>
      </c>
    </row>
    <row r="14" spans="1:17" hidden="1" x14ac:dyDescent="0.25">
      <c r="A14" t="s">
        <v>45</v>
      </c>
      <c r="B14" t="s">
        <v>46</v>
      </c>
      <c r="C14" t="s">
        <v>47</v>
      </c>
      <c r="D14" t="s">
        <v>48</v>
      </c>
      <c r="E14" t="s">
        <v>11</v>
      </c>
      <c r="F14">
        <v>12</v>
      </c>
      <c r="G14">
        <v>36</v>
      </c>
      <c r="H14">
        <v>8.5</v>
      </c>
      <c r="I14">
        <v>1.2</v>
      </c>
      <c r="J14">
        <v>45.1</v>
      </c>
      <c r="K14" t="s">
        <v>11</v>
      </c>
      <c r="N14" t="s">
        <v>11</v>
      </c>
      <c r="Q14" t="s">
        <v>49</v>
      </c>
    </row>
    <row r="15" spans="1:17" hidden="1" x14ac:dyDescent="0.25">
      <c r="A15" t="s">
        <v>45</v>
      </c>
      <c r="B15" t="s">
        <v>50</v>
      </c>
      <c r="C15" t="s">
        <v>47</v>
      </c>
      <c r="D15" t="s">
        <v>48</v>
      </c>
      <c r="E15" t="s">
        <v>11</v>
      </c>
      <c r="F15">
        <v>0.05</v>
      </c>
      <c r="G15">
        <v>0.16</v>
      </c>
      <c r="H15">
        <v>2.2999999999999998</v>
      </c>
      <c r="I15">
        <v>0.2</v>
      </c>
      <c r="J15">
        <v>13.4</v>
      </c>
      <c r="K15" t="s">
        <v>11</v>
      </c>
      <c r="N15" t="s">
        <v>11</v>
      </c>
      <c r="Q15" t="s">
        <v>51</v>
      </c>
    </row>
    <row r="16" spans="1:17" hidden="1" x14ac:dyDescent="0.25">
      <c r="A16" t="s">
        <v>52</v>
      </c>
      <c r="B16" t="s">
        <v>53</v>
      </c>
      <c r="C16" t="s">
        <v>54</v>
      </c>
      <c r="D16" t="s">
        <v>55</v>
      </c>
      <c r="E16">
        <v>4.0000000000000001E-3</v>
      </c>
      <c r="F16">
        <v>0</v>
      </c>
      <c r="G16">
        <v>1.3779999999999999</v>
      </c>
      <c r="H16">
        <v>2.16</v>
      </c>
      <c r="I16" t="s">
        <v>11</v>
      </c>
      <c r="J16" t="s">
        <v>11</v>
      </c>
      <c r="K16">
        <v>0.34</v>
      </c>
      <c r="N16">
        <v>1.82</v>
      </c>
      <c r="Q16" t="s">
        <v>56</v>
      </c>
    </row>
    <row r="17" spans="1:17" hidden="1" x14ac:dyDescent="0.25">
      <c r="A17" t="s">
        <v>57</v>
      </c>
      <c r="B17" t="s">
        <v>58</v>
      </c>
      <c r="C17" t="s">
        <v>59</v>
      </c>
      <c r="D17" t="s">
        <v>60</v>
      </c>
      <c r="E17" t="s">
        <v>11</v>
      </c>
      <c r="F17" t="s">
        <v>11</v>
      </c>
      <c r="G17" t="s">
        <v>11</v>
      </c>
      <c r="H17">
        <v>4.5</v>
      </c>
      <c r="I17">
        <v>0</v>
      </c>
      <c r="J17">
        <v>60</v>
      </c>
      <c r="K17" t="s">
        <v>11</v>
      </c>
      <c r="N17" t="s">
        <v>11</v>
      </c>
      <c r="Q17" t="s">
        <v>61</v>
      </c>
    </row>
    <row r="18" spans="1:17" hidden="1" x14ac:dyDescent="0.25">
      <c r="A18" t="s">
        <v>62</v>
      </c>
      <c r="B18" t="s">
        <v>63</v>
      </c>
      <c r="C18" t="s">
        <v>64</v>
      </c>
      <c r="D18" t="s">
        <v>65</v>
      </c>
      <c r="E18">
        <v>0.46200000000000002</v>
      </c>
      <c r="F18">
        <v>8.9999999999999993E-3</v>
      </c>
      <c r="G18">
        <v>3.8490000000000002</v>
      </c>
      <c r="H18">
        <v>1.4</v>
      </c>
      <c r="I18">
        <v>0.3</v>
      </c>
      <c r="J18">
        <v>4.9000000000000004</v>
      </c>
      <c r="K18">
        <v>1.7</v>
      </c>
      <c r="N18">
        <v>0</v>
      </c>
      <c r="Q18" t="s">
        <v>66</v>
      </c>
    </row>
    <row r="19" spans="1:17" x14ac:dyDescent="0.25">
      <c r="A19" t="s">
        <v>67</v>
      </c>
      <c r="B19" t="s">
        <v>68</v>
      </c>
      <c r="C19" t="s">
        <v>69</v>
      </c>
      <c r="D19" t="s">
        <v>70</v>
      </c>
      <c r="E19">
        <v>0.7</v>
      </c>
      <c r="F19">
        <v>0</v>
      </c>
      <c r="G19" t="s">
        <v>11</v>
      </c>
      <c r="H19">
        <v>2.9</v>
      </c>
      <c r="I19">
        <v>0</v>
      </c>
      <c r="J19">
        <v>10.5</v>
      </c>
      <c r="K19">
        <v>1.86</v>
      </c>
      <c r="N19">
        <v>1.04</v>
      </c>
      <c r="Q19" t="s">
        <v>71</v>
      </c>
    </row>
    <row r="20" spans="1:17" hidden="1" x14ac:dyDescent="0.25">
      <c r="A20" t="s">
        <v>72</v>
      </c>
      <c r="B20" t="s">
        <v>73</v>
      </c>
      <c r="C20" t="s">
        <v>74</v>
      </c>
      <c r="D20" t="s">
        <v>75</v>
      </c>
      <c r="E20">
        <v>400</v>
      </c>
      <c r="F20" t="s">
        <v>11</v>
      </c>
      <c r="G20" t="s">
        <v>11</v>
      </c>
      <c r="H20">
        <v>0.28999999999999998</v>
      </c>
      <c r="I20">
        <v>0.19</v>
      </c>
      <c r="J20">
        <v>0.43</v>
      </c>
      <c r="K20">
        <v>0.55000000000000004</v>
      </c>
      <c r="N20">
        <v>0</v>
      </c>
      <c r="Q20" t="s">
        <v>76</v>
      </c>
    </row>
    <row r="21" spans="1:17" hidden="1" x14ac:dyDescent="0.25">
      <c r="A21" t="s">
        <v>77</v>
      </c>
      <c r="B21" t="s">
        <v>78</v>
      </c>
      <c r="C21" t="s">
        <v>79</v>
      </c>
      <c r="D21" t="s">
        <v>80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  <c r="K21">
        <v>4.0999999999999996</v>
      </c>
      <c r="N21" t="s">
        <v>11</v>
      </c>
      <c r="Q21" t="s">
        <v>81</v>
      </c>
    </row>
    <row r="22" spans="1:17" hidden="1" x14ac:dyDescent="0.25">
      <c r="A22" t="s">
        <v>77</v>
      </c>
      <c r="B22" t="s">
        <v>82</v>
      </c>
      <c r="C22" t="s">
        <v>79</v>
      </c>
      <c r="D22" t="s">
        <v>80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  <c r="K22">
        <v>5.8</v>
      </c>
      <c r="N22" t="s">
        <v>11</v>
      </c>
      <c r="Q22" t="s">
        <v>83</v>
      </c>
    </row>
    <row r="23" spans="1:17" hidden="1" x14ac:dyDescent="0.25">
      <c r="A23" t="s">
        <v>84</v>
      </c>
      <c r="B23" t="s">
        <v>85</v>
      </c>
      <c r="C23" t="s">
        <v>86</v>
      </c>
      <c r="D23" t="s">
        <v>87</v>
      </c>
      <c r="E23">
        <v>76.099999999999994</v>
      </c>
      <c r="F23">
        <v>0</v>
      </c>
      <c r="G23">
        <v>640</v>
      </c>
      <c r="H23">
        <v>13.93</v>
      </c>
      <c r="I23" t="s">
        <v>11</v>
      </c>
      <c r="J23" t="s">
        <v>11</v>
      </c>
      <c r="K23">
        <v>1.43</v>
      </c>
      <c r="N23">
        <v>12.5</v>
      </c>
      <c r="Q23" t="s">
        <v>88</v>
      </c>
    </row>
    <row r="24" spans="1:17" hidden="1" x14ac:dyDescent="0.25">
      <c r="A24" t="s">
        <v>89</v>
      </c>
      <c r="B24" t="s">
        <v>90</v>
      </c>
      <c r="C24" t="s">
        <v>91</v>
      </c>
      <c r="D24" t="s">
        <v>10</v>
      </c>
      <c r="E24" t="s">
        <v>11</v>
      </c>
      <c r="F24">
        <v>3.0000000000000001E-6</v>
      </c>
      <c r="G24">
        <v>1.1719999999999999</v>
      </c>
      <c r="H24">
        <v>0.79600000000000004</v>
      </c>
      <c r="I24">
        <v>7.0000000000000007E-2</v>
      </c>
      <c r="J24">
        <v>2.4</v>
      </c>
      <c r="K24" t="s">
        <v>11</v>
      </c>
      <c r="N24" t="s">
        <v>11</v>
      </c>
      <c r="Q24" t="s">
        <v>92</v>
      </c>
    </row>
    <row r="25" spans="1:17" hidden="1" x14ac:dyDescent="0.25">
      <c r="A25" t="s">
        <v>93</v>
      </c>
      <c r="B25" t="s">
        <v>94</v>
      </c>
      <c r="C25" t="s">
        <v>95</v>
      </c>
      <c r="D25" t="s">
        <v>96</v>
      </c>
      <c r="E25" t="s">
        <v>11</v>
      </c>
      <c r="F25" t="s">
        <v>11</v>
      </c>
      <c r="G25" t="s">
        <v>11</v>
      </c>
      <c r="H25">
        <v>0.19</v>
      </c>
      <c r="I25" t="s">
        <v>11</v>
      </c>
      <c r="J25" t="s">
        <v>11</v>
      </c>
      <c r="K25">
        <v>0.17</v>
      </c>
      <c r="N25">
        <v>0.02</v>
      </c>
      <c r="Q25" t="s">
        <v>97</v>
      </c>
    </row>
  </sheetData>
  <autoFilter ref="A1:AD25" xr:uid="{5AE09214-6FDB-461D-8328-E333A8E17C24}">
    <filterColumn colId="0">
      <filters>
        <filter val="Carter et al. 202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Howley,Samantha T</dc:creator>
  <cp:lastModifiedBy>Howley,Samantha T</cp:lastModifiedBy>
  <dcterms:created xsi:type="dcterms:W3CDTF">2026-04-27T14:38:14Z</dcterms:created>
  <dcterms:modified xsi:type="dcterms:W3CDTF">2026-04-27T17:38:20Z</dcterms:modified>
</cp:coreProperties>
</file>