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Z:\Hydrology\Bradford_Forest_Project\Masterfiles_latest\"/>
    </mc:Choice>
  </mc:AlternateContent>
  <xr:revisionPtr revIDLastSave="0" documentId="13_ncr:1_{85820977-2F2E-414F-990D-4B7E6BAE799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ata" sheetId="1" r:id="rId1"/>
    <sheet name="Variable Definitio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1" i="1" l="1"/>
  <c r="N100" i="1"/>
  <c r="N99" i="1"/>
  <c r="N98" i="1"/>
  <c r="N97" i="1"/>
  <c r="N96" i="1"/>
  <c r="L95" i="1"/>
  <c r="L96" i="1"/>
  <c r="L97" i="1"/>
  <c r="L98" i="1"/>
  <c r="L99" i="1"/>
  <c r="L100" i="1"/>
  <c r="L101" i="1"/>
  <c r="N95" i="1"/>
  <c r="L93" i="1" l="1"/>
  <c r="L94" i="1"/>
  <c r="N94" i="1"/>
  <c r="N93" i="1"/>
  <c r="L92" i="1"/>
  <c r="N92" i="1"/>
  <c r="L91" i="1"/>
  <c r="N91" i="1"/>
  <c r="L90" i="1"/>
  <c r="N90" i="1"/>
  <c r="N89" i="1" l="1"/>
  <c r="N88" i="1"/>
  <c r="N87" i="1"/>
  <c r="N86" i="1"/>
  <c r="N85" i="1"/>
  <c r="N84" i="1"/>
  <c r="L84" i="1"/>
  <c r="L85" i="1"/>
  <c r="L86" i="1"/>
  <c r="L87" i="1"/>
  <c r="L88" i="1"/>
  <c r="L89" i="1"/>
  <c r="N82" i="1"/>
  <c r="N83" i="1"/>
  <c r="L82" i="1"/>
  <c r="L83" i="1"/>
  <c r="N81" i="1" l="1"/>
  <c r="N80" i="1"/>
  <c r="N79" i="1"/>
  <c r="L76" i="1"/>
  <c r="L77" i="1"/>
  <c r="L78" i="1"/>
  <c r="L79" i="1"/>
  <c r="L80" i="1"/>
  <c r="L81" i="1"/>
  <c r="N78" i="1"/>
  <c r="N77" i="1"/>
  <c r="N76" i="1" l="1"/>
  <c r="L68" i="1" l="1"/>
  <c r="L67" i="1"/>
  <c r="L69" i="1"/>
  <c r="L70" i="1"/>
  <c r="L71" i="1"/>
  <c r="L72" i="1"/>
  <c r="L73" i="1"/>
  <c r="L74" i="1"/>
  <c r="L75" i="1"/>
  <c r="N75" i="1" l="1"/>
  <c r="N74" i="1"/>
  <c r="N73" i="1"/>
  <c r="N72" i="1"/>
  <c r="N71" i="1"/>
  <c r="N70" i="1" l="1"/>
  <c r="N69" i="1"/>
  <c r="N68" i="1"/>
  <c r="N67" i="1"/>
  <c r="N66" i="1" l="1"/>
  <c r="N65" i="1"/>
  <c r="N64" i="1"/>
  <c r="N63" i="1"/>
  <c r="N62" i="1"/>
  <c r="K61" i="1"/>
  <c r="L61" i="1" s="1"/>
  <c r="K62" i="1"/>
  <c r="L62" i="1" s="1"/>
  <c r="K63" i="1"/>
  <c r="L63" i="1" s="1"/>
  <c r="K64" i="1"/>
  <c r="L64" i="1" s="1"/>
  <c r="K65" i="1"/>
  <c r="L65" i="1" s="1"/>
  <c r="K66" i="1"/>
  <c r="L66" i="1" s="1"/>
  <c r="N61" i="1"/>
  <c r="K60" i="1"/>
  <c r="L60" i="1" s="1"/>
  <c r="N60" i="1"/>
  <c r="K59" i="1" l="1"/>
  <c r="L59" i="1" s="1"/>
  <c r="N59" i="1"/>
  <c r="K58" i="1"/>
  <c r="L58" i="1" s="1"/>
  <c r="N58" i="1"/>
  <c r="K57" i="1"/>
  <c r="L57" i="1" s="1"/>
  <c r="N57" i="1"/>
  <c r="K56" i="1"/>
  <c r="L56" i="1" s="1"/>
  <c r="N56" i="1"/>
  <c r="K55" i="1"/>
  <c r="L55" i="1" s="1"/>
  <c r="N55" i="1"/>
  <c r="K54" i="1"/>
  <c r="L54" i="1" s="1"/>
  <c r="N54" i="1"/>
  <c r="K53" i="1"/>
  <c r="L53" i="1" s="1"/>
  <c r="N53" i="1"/>
  <c r="N2" i="1" l="1"/>
  <c r="N3" i="1"/>
  <c r="N4" i="1"/>
  <c r="N5" i="1"/>
  <c r="N6" i="1"/>
  <c r="N7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5" i="1"/>
  <c r="N46" i="1"/>
  <c r="N47" i="1"/>
  <c r="N48" i="1"/>
  <c r="N49" i="1"/>
  <c r="N50" i="1"/>
  <c r="N51" i="1"/>
  <c r="N52" i="1"/>
  <c r="N8" i="1"/>
  <c r="K46" i="1" l="1"/>
  <c r="L46" i="1" s="1"/>
  <c r="K47" i="1"/>
  <c r="L47" i="1" s="1"/>
  <c r="K48" i="1"/>
  <c r="L48" i="1" s="1"/>
  <c r="K49" i="1"/>
  <c r="L49" i="1" s="1"/>
  <c r="K50" i="1"/>
  <c r="L50" i="1" s="1"/>
  <c r="K51" i="1"/>
  <c r="L51" i="1" s="1"/>
  <c r="K52" i="1"/>
  <c r="L52" i="1" s="1"/>
  <c r="K45" i="1"/>
  <c r="L45" i="1" s="1"/>
  <c r="K39" i="1" l="1"/>
  <c r="L39" i="1" s="1"/>
  <c r="K40" i="1"/>
  <c r="L40" i="1" s="1"/>
  <c r="K41" i="1"/>
  <c r="L41" i="1" s="1"/>
  <c r="K42" i="1"/>
  <c r="L42" i="1" s="1"/>
  <c r="K43" i="1"/>
  <c r="L43" i="1" s="1"/>
  <c r="K38" i="1"/>
  <c r="L38" i="1" s="1"/>
  <c r="K31" i="1" l="1"/>
  <c r="L31" i="1" s="1"/>
  <c r="K25" i="1"/>
  <c r="L25" i="1" s="1"/>
  <c r="K26" i="1"/>
  <c r="L26" i="1" s="1"/>
  <c r="K27" i="1"/>
  <c r="L27" i="1" s="1"/>
  <c r="K28" i="1"/>
  <c r="L28" i="1" s="1"/>
  <c r="K29" i="1"/>
  <c r="L29" i="1" s="1"/>
  <c r="K30" i="1"/>
  <c r="L30" i="1" s="1"/>
  <c r="K32" i="1"/>
  <c r="L32" i="1" s="1"/>
  <c r="K33" i="1"/>
  <c r="L33" i="1" s="1"/>
  <c r="K34" i="1"/>
  <c r="L34" i="1" s="1"/>
  <c r="K35" i="1"/>
  <c r="L35" i="1" s="1"/>
  <c r="K36" i="1"/>
  <c r="L36" i="1" s="1"/>
  <c r="K37" i="1"/>
  <c r="L37" i="1" s="1"/>
  <c r="K24" i="1" l="1"/>
  <c r="L24" i="1" s="1"/>
  <c r="K7" i="1" l="1"/>
  <c r="L7" i="1" s="1"/>
  <c r="K3" i="1" l="1"/>
  <c r="L3" i="1" s="1"/>
  <c r="K4" i="1"/>
  <c r="L4" i="1" s="1"/>
  <c r="K5" i="1"/>
  <c r="L5" i="1" s="1"/>
  <c r="K6" i="1"/>
  <c r="L6" i="1" s="1"/>
  <c r="K8" i="1"/>
  <c r="L8" i="1" s="1"/>
  <c r="K9" i="1"/>
  <c r="L9" i="1" s="1"/>
  <c r="K10" i="1"/>
  <c r="L10" i="1" s="1"/>
  <c r="K11" i="1"/>
  <c r="L11" i="1" s="1"/>
  <c r="K12" i="1"/>
  <c r="L12" i="1" s="1"/>
  <c r="K13" i="1"/>
  <c r="L13" i="1" s="1"/>
  <c r="K14" i="1"/>
  <c r="L14" i="1" s="1"/>
  <c r="K15" i="1"/>
  <c r="L15" i="1" s="1"/>
  <c r="K16" i="1"/>
  <c r="L16" i="1" s="1"/>
  <c r="K17" i="1"/>
  <c r="L17" i="1" s="1"/>
  <c r="K18" i="1"/>
  <c r="L18" i="1" s="1"/>
  <c r="K19" i="1"/>
  <c r="L19" i="1" s="1"/>
  <c r="K20" i="1"/>
  <c r="L20" i="1" s="1"/>
  <c r="K21" i="1"/>
  <c r="L21" i="1" s="1"/>
  <c r="K22" i="1"/>
  <c r="L22" i="1" s="1"/>
  <c r="K23" i="1"/>
  <c r="L23" i="1" s="1"/>
  <c r="K2" i="1"/>
  <c r="L2" i="1" s="1"/>
  <c r="N44" i="1" l="1"/>
  <c r="K44" i="1"/>
  <c r="L44" i="1" s="1"/>
</calcChain>
</file>

<file path=xl/sharedStrings.xml><?xml version="1.0" encoding="utf-8"?>
<sst xmlns="http://schemas.openxmlformats.org/spreadsheetml/2006/main" count="423" uniqueCount="57">
  <si>
    <t>HT_DOM</t>
  </si>
  <si>
    <t>PLOT</t>
  </si>
  <si>
    <t>DATE</t>
  </si>
  <si>
    <t>LAT</t>
  </si>
  <si>
    <t>LONG</t>
  </si>
  <si>
    <t>LAI_Mean</t>
  </si>
  <si>
    <t>LAI_SD</t>
  </si>
  <si>
    <t>HT_CO</t>
  </si>
  <si>
    <t>HT_INT</t>
  </si>
  <si>
    <t>HT_SUPP</t>
  </si>
  <si>
    <t>NA</t>
  </si>
  <si>
    <t>Floodplain swamp</t>
  </si>
  <si>
    <t>Clearcut</t>
  </si>
  <si>
    <t>Dense isolated wetland</t>
  </si>
  <si>
    <t>Hardwood Forest</t>
  </si>
  <si>
    <t>Pine Stand</t>
  </si>
  <si>
    <t>BA_Mean</t>
  </si>
  <si>
    <t>Na</t>
  </si>
  <si>
    <t>Logged Cypress Swamp</t>
  </si>
  <si>
    <t>BASIN</t>
  </si>
  <si>
    <t>6a</t>
  </si>
  <si>
    <t>TYPE</t>
  </si>
  <si>
    <t>5a</t>
  </si>
  <si>
    <t>Young Pine Stand</t>
  </si>
  <si>
    <t>GROUND_COVER_Mean</t>
  </si>
  <si>
    <t>Definition</t>
  </si>
  <si>
    <t>DENSITY</t>
  </si>
  <si>
    <t>OM_CONTENT_UPPER</t>
  </si>
  <si>
    <t>OM_CONTENT_LOWER</t>
  </si>
  <si>
    <t>Average basal area of all trees within a plot. Basal area (ft^2) = 0.005454 * ((DBH)^2)</t>
  </si>
  <si>
    <t>Number of trees within a plot</t>
  </si>
  <si>
    <t>Variabe</t>
  </si>
  <si>
    <t>Latitude of plot center</t>
  </si>
  <si>
    <t>Longitude of plot center</t>
  </si>
  <si>
    <t>Date of sampling</t>
  </si>
  <si>
    <t>Selected study locations (11 m radius) within a site that capture local landscape spatial heterogeneity</t>
  </si>
  <si>
    <t xml:space="preserve">Bradford Forest basin number that a site/plot is situated in. </t>
  </si>
  <si>
    <t>Average of LAI measurements obtained from LICOR measurements within a plot. Measurements (~20-40) were collected within a 60 x 60 m grid</t>
  </si>
  <si>
    <t>Standard deviation of LAI measurements obtained from LICOR measurements within a plot. Measurements (~20-40) collected within a 60 x 60 m grid</t>
  </si>
  <si>
    <t>Average height (m) of trees in the dominant crown class in a plot</t>
  </si>
  <si>
    <t>Average height (m) of trees in the co-dominant crown class in a plot</t>
  </si>
  <si>
    <t>Average height (m) of trees in the intermediate/sub-dominant crown class in a plot</t>
  </si>
  <si>
    <t>Average height (m) of trees in the suppressed crown class in a plot</t>
  </si>
  <si>
    <t>Average of the understory ground cover (percent ground cover) of four 1 x 1 m quadrats within a plot</t>
  </si>
  <si>
    <t>Plot forest type</t>
  </si>
  <si>
    <t>Percent organic matter of material collected from 1-20 cm depth within a plot (compositie across five samples; ~200 g of material). Weight-loss-on-ignition used to calculate organic matter content.</t>
  </si>
  <si>
    <t>Percent organic matter of material collected from 20-40 cm depth within a plot (compositie across five samples; ~200 g of material). Weight-loss-on-ignition used to calculate organic matter content.</t>
  </si>
  <si>
    <t>CLUSTER</t>
  </si>
  <si>
    <t>General sampling locations where study plots were identified and sampled on a given date. Also referred to as sites.</t>
  </si>
  <si>
    <t>Cypress/Bay Swamp</t>
  </si>
  <si>
    <t>Tree density (stem per plot)</t>
  </si>
  <si>
    <t>Tree density (stem per ha)</t>
  </si>
  <si>
    <t>BA_Sum (ft^2)</t>
  </si>
  <si>
    <t>BA_Mean(ft^2)</t>
  </si>
  <si>
    <t>BA_Sum (m2^2)</t>
  </si>
  <si>
    <t>Young pine stand</t>
  </si>
  <si>
    <t>LAI_Corected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</si>
</sst>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Fill="1" applyAlignment="1">
      <alignment horizontal="center" vertical="center"/>
    </xf>
    <xf numFmtId="14" fontId="0" fillId="0" borderId="0" xfId="0" applyNumberFormat="1" applyFill="1" applyAlignment="1">
      <alignment horizontal="center" vertical="center"/>
    </xf>
    <xf numFmtId="0" fontId="0" fillId="0" borderId="0" xfId="0" applyFill="1" applyAlignment="1">
      <alignment vertical="center"/>
    </xf>
    <xf numFmtId="2" fontId="0" fillId="0" borderId="0" xfId="0" applyNumberFormat="1" applyFill="1"/>
    <xf numFmtId="0" fontId="0" fillId="0" borderId="0" xfId="0" applyFill="1"/>
    <xf numFmtId="0" fontId="0" fillId="0" borderId="0" xfId="0" applyFill="1" applyAlignment="1">
      <alignment horizontal="center"/>
    </xf>
    <xf numFmtId="2" fontId="0" fillId="0" borderId="0" xfId="0" applyNumberForma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1"/>
  <sheetViews>
    <sheetView tabSelected="1" zoomScale="80" zoomScaleNormal="80" workbookViewId="0">
      <pane ySplit="1" topLeftCell="A2" activePane="bottomLeft" state="frozen"/>
      <selection pane="bottomLeft" activeCell="N1" sqref="N1:N1048576"/>
    </sheetView>
  </sheetViews>
  <sheetFormatPr defaultColWidth="9.140625" defaultRowHeight="15" x14ac:dyDescent="0.25"/>
  <cols>
    <col min="1" max="2" width="9.140625" style="1"/>
    <col min="3" max="3" width="7" style="1" bestFit="1" customWidth="1"/>
    <col min="4" max="4" width="11.5703125" style="1" bestFit="1" customWidth="1"/>
    <col min="5" max="5" width="12" style="1" bestFit="1" customWidth="1"/>
    <col min="6" max="6" width="9.140625" style="1"/>
    <col min="7" max="7" width="13" style="7" bestFit="1" customWidth="1"/>
    <col min="8" max="8" width="13" style="7" customWidth="1"/>
    <col min="9" max="9" width="9.140625" style="7"/>
    <col min="10" max="10" width="16.7109375" style="7" bestFit="1" customWidth="1"/>
    <col min="11" max="11" width="14.5703125" style="7" bestFit="1" customWidth="1"/>
    <col min="12" max="12" width="16" style="7" bestFit="1" customWidth="1"/>
    <col min="13" max="13" width="28.85546875" style="1" bestFit="1" customWidth="1"/>
    <col min="14" max="14" width="27.28515625" style="7" bestFit="1" customWidth="1"/>
    <col min="15" max="15" width="21.42578125" style="3" bestFit="1" customWidth="1"/>
    <col min="16" max="16" width="22.140625" style="3" bestFit="1" customWidth="1"/>
    <col min="17" max="17" width="23.85546875" style="1" bestFit="1" customWidth="1"/>
    <col min="18" max="20" width="9.140625" style="1"/>
    <col min="21" max="21" width="8.85546875" style="1" bestFit="1" customWidth="1"/>
    <col min="22" max="22" width="25.28515625" style="1" bestFit="1" customWidth="1"/>
    <col min="23" max="16384" width="9.140625" style="1"/>
  </cols>
  <sheetData>
    <row r="1" spans="1:22" x14ac:dyDescent="0.25">
      <c r="A1" s="1" t="s">
        <v>47</v>
      </c>
      <c r="B1" s="1" t="s">
        <v>1</v>
      </c>
      <c r="C1" s="1" t="s">
        <v>19</v>
      </c>
      <c r="D1" s="1" t="s">
        <v>2</v>
      </c>
      <c r="E1" s="1" t="s">
        <v>3</v>
      </c>
      <c r="F1" s="1" t="s">
        <v>4</v>
      </c>
      <c r="G1" s="7" t="s">
        <v>5</v>
      </c>
      <c r="H1" s="7" t="s">
        <v>56</v>
      </c>
      <c r="I1" s="7" t="s">
        <v>6</v>
      </c>
      <c r="J1" s="7" t="s">
        <v>53</v>
      </c>
      <c r="K1" s="7" t="s">
        <v>52</v>
      </c>
      <c r="L1" s="7" t="s">
        <v>54</v>
      </c>
      <c r="M1" s="1" t="s">
        <v>50</v>
      </c>
      <c r="N1" s="7" t="s">
        <v>51</v>
      </c>
      <c r="O1" s="3" t="s">
        <v>27</v>
      </c>
      <c r="P1" s="3" t="s">
        <v>28</v>
      </c>
      <c r="Q1" s="1" t="s">
        <v>24</v>
      </c>
      <c r="R1" s="1" t="s">
        <v>0</v>
      </c>
      <c r="S1" s="1" t="s">
        <v>7</v>
      </c>
      <c r="T1" s="1" t="s">
        <v>8</v>
      </c>
      <c r="U1" s="1" t="s">
        <v>9</v>
      </c>
      <c r="V1" s="1" t="s">
        <v>21</v>
      </c>
    </row>
    <row r="2" spans="1:22" x14ac:dyDescent="0.25">
      <c r="A2" s="1">
        <v>1</v>
      </c>
      <c r="B2" s="1">
        <v>1</v>
      </c>
      <c r="C2" s="1" t="s">
        <v>22</v>
      </c>
      <c r="D2" s="2">
        <v>44539</v>
      </c>
      <c r="E2" s="1">
        <v>29.891692899999999</v>
      </c>
      <c r="F2" s="1">
        <v>-82.268147999999997</v>
      </c>
      <c r="G2" s="7">
        <v>0.93169999999999997</v>
      </c>
      <c r="H2" s="7">
        <v>1.49072</v>
      </c>
      <c r="I2" s="7">
        <v>0.14303508343235261</v>
      </c>
      <c r="J2" s="7">
        <v>0.18932046</v>
      </c>
      <c r="K2" s="7">
        <f>J2*M2*10</f>
        <v>68.155365599999996</v>
      </c>
      <c r="L2" s="7">
        <f>K2/10.764</f>
        <v>6.3317879598662206</v>
      </c>
      <c r="M2" s="1">
        <v>36</v>
      </c>
      <c r="N2" s="7">
        <f>M2*26.3066017753267</f>
        <v>947.03766391176123</v>
      </c>
      <c r="O2" s="3">
        <v>3.399999999999999</v>
      </c>
      <c r="P2" s="3">
        <v>1.7999999999999972</v>
      </c>
      <c r="Q2" s="1">
        <v>16.13</v>
      </c>
      <c r="R2" s="1">
        <v>14</v>
      </c>
      <c r="S2" s="1">
        <v>12.5</v>
      </c>
      <c r="T2" s="1">
        <v>4.3</v>
      </c>
      <c r="U2" s="1" t="s">
        <v>10</v>
      </c>
      <c r="V2" s="1" t="s">
        <v>15</v>
      </c>
    </row>
    <row r="3" spans="1:22" x14ac:dyDescent="0.25">
      <c r="A3" s="1">
        <v>1</v>
      </c>
      <c r="B3" s="1">
        <v>2</v>
      </c>
      <c r="C3" s="1" t="s">
        <v>22</v>
      </c>
      <c r="D3" s="2">
        <v>44539</v>
      </c>
      <c r="E3" s="1">
        <v>29.891165000000001</v>
      </c>
      <c r="F3" s="1">
        <v>-82.268550599999998</v>
      </c>
      <c r="G3" s="7">
        <v>1.9353313043478264</v>
      </c>
      <c r="H3" s="7">
        <v>3.0965300869565224</v>
      </c>
      <c r="I3" s="7">
        <v>0.41351204600794106</v>
      </c>
      <c r="J3" s="7">
        <v>0.63460436538461529</v>
      </c>
      <c r="K3" s="7">
        <f>J3*M3*10</f>
        <v>164.99713499999999</v>
      </c>
      <c r="L3" s="7">
        <f>K3/10.764</f>
        <v>15.328607859531772</v>
      </c>
      <c r="M3" s="1">
        <v>26</v>
      </c>
      <c r="N3" s="7">
        <f>M3*26.3066017753267</f>
        <v>683.9716461584942</v>
      </c>
      <c r="O3" s="3">
        <v>1.6000000000000014</v>
      </c>
      <c r="P3" s="3">
        <v>0.59999999999998721</v>
      </c>
      <c r="Q3" s="1">
        <v>40</v>
      </c>
      <c r="R3" s="1">
        <v>19.8</v>
      </c>
      <c r="S3" s="1">
        <v>15.4</v>
      </c>
      <c r="T3" s="1">
        <v>11.8</v>
      </c>
      <c r="U3" s="1">
        <v>6.6</v>
      </c>
      <c r="V3" s="1" t="s">
        <v>14</v>
      </c>
    </row>
    <row r="4" spans="1:22" x14ac:dyDescent="0.25">
      <c r="A4" s="1">
        <v>1</v>
      </c>
      <c r="B4" s="1">
        <v>3</v>
      </c>
      <c r="C4" s="1" t="s">
        <v>22</v>
      </c>
      <c r="D4" s="2">
        <v>44539</v>
      </c>
      <c r="E4" s="1">
        <v>29.894629900000002</v>
      </c>
      <c r="F4" s="1">
        <v>-82.268309599999995</v>
      </c>
      <c r="G4" s="7">
        <v>7.0242689199999982E-3</v>
      </c>
      <c r="H4" s="7">
        <v>1.1238830271999997E-2</v>
      </c>
      <c r="I4" s="7">
        <v>9.4243218524324521E-3</v>
      </c>
      <c r="J4" s="7">
        <v>0</v>
      </c>
      <c r="K4" s="7">
        <f>J4*M4*10</f>
        <v>0</v>
      </c>
      <c r="L4" s="7">
        <f>K4/10.764</f>
        <v>0</v>
      </c>
      <c r="M4" s="1">
        <v>0</v>
      </c>
      <c r="N4" s="7">
        <f>M4*26.3066017753267</f>
        <v>0</v>
      </c>
      <c r="O4" s="3">
        <v>3.7999999999999901</v>
      </c>
      <c r="P4" s="3">
        <v>2.5999999999999979</v>
      </c>
      <c r="Q4" s="1">
        <v>38.75</v>
      </c>
      <c r="R4" s="1" t="s">
        <v>10</v>
      </c>
      <c r="S4" s="1" t="s">
        <v>10</v>
      </c>
      <c r="T4" s="1" t="s">
        <v>10</v>
      </c>
      <c r="U4" s="1" t="s">
        <v>10</v>
      </c>
      <c r="V4" s="1" t="s">
        <v>12</v>
      </c>
    </row>
    <row r="5" spans="1:22" x14ac:dyDescent="0.25">
      <c r="A5" s="1">
        <v>2</v>
      </c>
      <c r="B5" s="1">
        <v>1</v>
      </c>
      <c r="C5" s="1">
        <v>5</v>
      </c>
      <c r="D5" s="2">
        <v>44603</v>
      </c>
      <c r="E5" s="1">
        <v>29.875430000000001</v>
      </c>
      <c r="F5" s="1">
        <v>-82.278229999999994</v>
      </c>
      <c r="G5" s="7">
        <v>0.62313292307692314</v>
      </c>
      <c r="H5" s="7">
        <v>0.99701267692307705</v>
      </c>
      <c r="I5" s="7">
        <v>0.11676420621814612</v>
      </c>
      <c r="J5" s="7">
        <v>0.31061893499999998</v>
      </c>
      <c r="K5" s="7">
        <f>J5*M5*10</f>
        <v>37.274272199999999</v>
      </c>
      <c r="L5" s="7">
        <f>K5/10.764</f>
        <v>3.462864381270903</v>
      </c>
      <c r="M5" s="1">
        <v>12</v>
      </c>
      <c r="N5" s="7">
        <f>M5*26.3066017753267</f>
        <v>315.67922130392043</v>
      </c>
      <c r="O5" s="3">
        <v>3.399999999999999</v>
      </c>
      <c r="P5" s="3">
        <v>1.6000000000000014</v>
      </c>
      <c r="Q5" s="1">
        <v>61.25</v>
      </c>
      <c r="R5" s="1" t="s">
        <v>10</v>
      </c>
      <c r="S5" s="1">
        <v>14.5</v>
      </c>
      <c r="T5" s="1" t="s">
        <v>10</v>
      </c>
      <c r="U5" s="1" t="s">
        <v>10</v>
      </c>
      <c r="V5" s="1" t="s">
        <v>15</v>
      </c>
    </row>
    <row r="6" spans="1:22" x14ac:dyDescent="0.25">
      <c r="A6" s="1">
        <v>2</v>
      </c>
      <c r="B6" s="1">
        <v>2</v>
      </c>
      <c r="C6" s="1">
        <v>5</v>
      </c>
      <c r="D6" s="2">
        <v>44603</v>
      </c>
      <c r="E6" s="1">
        <v>29.874770000000002</v>
      </c>
      <c r="F6" s="1">
        <v>-82.279499999999999</v>
      </c>
      <c r="G6" s="7">
        <v>1.3618011428571428</v>
      </c>
      <c r="H6" s="7">
        <v>2.1788818285714284</v>
      </c>
      <c r="I6" s="7">
        <v>0.54919363104070196</v>
      </c>
      <c r="J6" s="7">
        <v>0.27994542923076926</v>
      </c>
      <c r="K6" s="7">
        <f>J6*M6*10</f>
        <v>72.785811600000002</v>
      </c>
      <c r="L6" s="7">
        <f>K6/10.764</f>
        <v>6.7619668896321077</v>
      </c>
      <c r="M6" s="1">
        <v>26</v>
      </c>
      <c r="N6" s="7">
        <f>M6*26.3066017753267</f>
        <v>683.9716461584942</v>
      </c>
      <c r="O6" s="3">
        <v>24.2</v>
      </c>
      <c r="P6" s="3">
        <v>2.8000000000000114</v>
      </c>
      <c r="Q6" s="1">
        <v>1.25</v>
      </c>
      <c r="R6" s="1">
        <v>20</v>
      </c>
      <c r="S6" s="1">
        <v>16</v>
      </c>
      <c r="T6" s="1">
        <v>7.5</v>
      </c>
      <c r="U6" s="1">
        <v>3</v>
      </c>
      <c r="V6" s="1" t="s">
        <v>13</v>
      </c>
    </row>
    <row r="7" spans="1:22" x14ac:dyDescent="0.25">
      <c r="A7" s="1">
        <v>2</v>
      </c>
      <c r="B7" s="1">
        <v>3</v>
      </c>
      <c r="C7" s="1">
        <v>5</v>
      </c>
      <c r="D7" s="2">
        <v>44603</v>
      </c>
      <c r="E7" s="1">
        <v>29.87659</v>
      </c>
      <c r="F7" s="1">
        <v>-82.279470000000003</v>
      </c>
      <c r="G7" s="7">
        <v>1.7278468571428574</v>
      </c>
      <c r="H7" s="7">
        <v>2.7645549714285718</v>
      </c>
      <c r="I7" s="7">
        <v>0.16414442852653433</v>
      </c>
      <c r="J7" s="7">
        <v>0.25744036909090912</v>
      </c>
      <c r="K7" s="7">
        <f>J7*M7*10</f>
        <v>169.91064360000001</v>
      </c>
      <c r="L7" s="7">
        <f>K7/10.764</f>
        <v>15.785083946488296</v>
      </c>
      <c r="M7" s="1">
        <v>66</v>
      </c>
      <c r="N7" s="7">
        <f>M7*26.3066017753267</f>
        <v>1736.2357171715623</v>
      </c>
      <c r="O7" s="3">
        <v>22.400000000000002</v>
      </c>
      <c r="P7" s="3">
        <v>22.199999999999989</v>
      </c>
      <c r="Q7" s="1">
        <v>12.5</v>
      </c>
      <c r="R7" s="1" t="s">
        <v>10</v>
      </c>
      <c r="S7" s="1">
        <v>14</v>
      </c>
      <c r="T7" s="1" t="s">
        <v>10</v>
      </c>
      <c r="U7" s="1">
        <v>11</v>
      </c>
      <c r="V7" s="1" t="s">
        <v>15</v>
      </c>
    </row>
    <row r="8" spans="1:22" x14ac:dyDescent="0.25">
      <c r="A8" s="1">
        <v>3</v>
      </c>
      <c r="B8" s="1">
        <v>1</v>
      </c>
      <c r="C8" s="1">
        <v>5</v>
      </c>
      <c r="D8" s="2">
        <v>44617</v>
      </c>
      <c r="E8" s="1">
        <v>29.876044</v>
      </c>
      <c r="F8" s="1">
        <v>-82.279617000000002</v>
      </c>
      <c r="G8" s="7">
        <v>0.40825148</v>
      </c>
      <c r="H8" s="7">
        <v>0.65320236800000009</v>
      </c>
      <c r="I8" s="7">
        <v>5.9730037341720832E-2</v>
      </c>
      <c r="J8" s="7">
        <v>0.30522401999999993</v>
      </c>
      <c r="K8" s="7">
        <f>J8*M8*10</f>
        <v>27.470161799999993</v>
      </c>
      <c r="L8" s="7">
        <f>K8/10.764</f>
        <v>2.5520403010033439</v>
      </c>
      <c r="M8" s="1">
        <v>9</v>
      </c>
      <c r="N8" s="7">
        <f>M8*26.3066017753267</f>
        <v>236.75941597794031</v>
      </c>
      <c r="O8" s="3">
        <v>5</v>
      </c>
      <c r="P8" s="3">
        <v>2.7999999999999936</v>
      </c>
      <c r="Q8" s="1">
        <v>31.25</v>
      </c>
      <c r="R8" s="1" t="s">
        <v>10</v>
      </c>
      <c r="S8" s="1">
        <v>13.2</v>
      </c>
      <c r="T8" s="1" t="s">
        <v>10</v>
      </c>
      <c r="U8" s="1" t="s">
        <v>10</v>
      </c>
      <c r="V8" s="1" t="s">
        <v>15</v>
      </c>
    </row>
    <row r="9" spans="1:22" x14ac:dyDescent="0.25">
      <c r="A9" s="1">
        <v>3</v>
      </c>
      <c r="B9" s="1">
        <v>2</v>
      </c>
      <c r="C9" s="1">
        <v>5</v>
      </c>
      <c r="D9" s="2">
        <v>44617</v>
      </c>
      <c r="E9" s="1">
        <v>29.871030000000001</v>
      </c>
      <c r="F9" s="1">
        <v>-82.281801999999999</v>
      </c>
      <c r="G9" s="7">
        <v>1.8736692000000001</v>
      </c>
      <c r="H9" s="7">
        <v>2.9978707200000003</v>
      </c>
      <c r="I9" s="7">
        <v>0.14086756907109599</v>
      </c>
      <c r="J9" s="7">
        <v>0.7221550499999998</v>
      </c>
      <c r="K9" s="7">
        <f>J9*M9*10</f>
        <v>129.98790899999995</v>
      </c>
      <c r="L9" s="7">
        <f>K9/10.764</f>
        <v>12.07617140468227</v>
      </c>
      <c r="M9" s="1">
        <v>18</v>
      </c>
      <c r="N9" s="7">
        <f>M9*26.3066017753267</f>
        <v>473.51883195588061</v>
      </c>
      <c r="O9" s="3">
        <v>6.2000000000000099</v>
      </c>
      <c r="P9" s="3">
        <v>6.1999999999999922</v>
      </c>
      <c r="Q9" s="1">
        <v>16.25</v>
      </c>
      <c r="R9" s="1" t="s">
        <v>10</v>
      </c>
      <c r="S9" s="1">
        <v>17</v>
      </c>
      <c r="T9" s="1" t="s">
        <v>10</v>
      </c>
      <c r="U9" s="1">
        <v>8</v>
      </c>
      <c r="V9" s="1" t="s">
        <v>15</v>
      </c>
    </row>
    <row r="10" spans="1:22" x14ac:dyDescent="0.25">
      <c r="A10" s="1">
        <v>3</v>
      </c>
      <c r="B10" s="1">
        <v>3</v>
      </c>
      <c r="C10" s="1">
        <v>5</v>
      </c>
      <c r="D10" s="2">
        <v>44617</v>
      </c>
      <c r="E10" s="1">
        <v>29.872931000000001</v>
      </c>
      <c r="F10" s="1">
        <v>-82.278271000000004</v>
      </c>
      <c r="G10" s="7">
        <v>1.3488768</v>
      </c>
      <c r="H10" s="7">
        <v>2.1582028800000002</v>
      </c>
      <c r="I10" s="7">
        <v>0.13128957148608567</v>
      </c>
      <c r="J10" s="7">
        <v>0.94838567142857122</v>
      </c>
      <c r="K10" s="7">
        <f>J10*M10*10</f>
        <v>199.16099099999997</v>
      </c>
      <c r="L10" s="7">
        <f>K10/10.764</f>
        <v>18.502507525083612</v>
      </c>
      <c r="M10" s="1">
        <v>21</v>
      </c>
      <c r="N10" s="7">
        <f>M10*26.3066017753267</f>
        <v>552.43863728186068</v>
      </c>
      <c r="O10" s="3">
        <v>7.8</v>
      </c>
      <c r="P10" s="3">
        <v>1.2</v>
      </c>
      <c r="Q10" s="1">
        <v>28.25</v>
      </c>
      <c r="R10" s="1">
        <v>15.4</v>
      </c>
      <c r="S10" s="1">
        <v>13.2</v>
      </c>
      <c r="T10" s="1">
        <v>11</v>
      </c>
      <c r="U10" s="1">
        <v>7.5</v>
      </c>
      <c r="V10" s="1" t="s">
        <v>11</v>
      </c>
    </row>
    <row r="11" spans="1:22" x14ac:dyDescent="0.25">
      <c r="A11" s="1">
        <v>4</v>
      </c>
      <c r="B11" s="1">
        <v>1</v>
      </c>
      <c r="C11" s="1" t="s">
        <v>22</v>
      </c>
      <c r="D11" s="2">
        <v>44624</v>
      </c>
      <c r="E11" s="1">
        <v>29.886551000000001</v>
      </c>
      <c r="F11" s="1">
        <v>-82.267277000000007</v>
      </c>
      <c r="G11" s="7">
        <v>1.6313920833333331</v>
      </c>
      <c r="H11" s="7">
        <v>2.610227333333333</v>
      </c>
      <c r="I11" s="7">
        <v>0.26326726527435529</v>
      </c>
      <c r="J11" s="7">
        <v>0.13281416150943395</v>
      </c>
      <c r="K11" s="7">
        <f>J11*M11*10</f>
        <v>70.391505599999988</v>
      </c>
      <c r="L11" s="7">
        <f>K11/10.764</f>
        <v>6.5395304347826082</v>
      </c>
      <c r="M11" s="1">
        <v>53</v>
      </c>
      <c r="N11" s="7">
        <f>M11*26.3066017753267</f>
        <v>1394.2498940923151</v>
      </c>
      <c r="O11" s="3">
        <v>1.8</v>
      </c>
      <c r="P11" s="3">
        <v>0.4</v>
      </c>
      <c r="Q11" s="1">
        <v>36.75</v>
      </c>
      <c r="R11" s="1" t="s">
        <v>10</v>
      </c>
      <c r="S11" s="1">
        <v>7</v>
      </c>
      <c r="T11" s="1">
        <v>4.5</v>
      </c>
      <c r="U11" s="1" t="s">
        <v>10</v>
      </c>
      <c r="V11" s="1" t="s">
        <v>15</v>
      </c>
    </row>
    <row r="12" spans="1:22" x14ac:dyDescent="0.25">
      <c r="A12" s="1">
        <v>4</v>
      </c>
      <c r="B12" s="1">
        <v>2</v>
      </c>
      <c r="C12" s="1" t="s">
        <v>22</v>
      </c>
      <c r="D12" s="2">
        <v>44624</v>
      </c>
      <c r="E12" s="1">
        <v>29.886935999999999</v>
      </c>
      <c r="F12" s="1">
        <v>-82.265820000000005</v>
      </c>
      <c r="G12" s="7">
        <v>2.6501300799999995E-2</v>
      </c>
      <c r="H12" s="7">
        <v>4.2402081279999997E-2</v>
      </c>
      <c r="I12" s="7">
        <v>1.6912749084784611E-2</v>
      </c>
      <c r="J12" s="7">
        <v>0</v>
      </c>
      <c r="K12" s="7">
        <f>J12*M12*10</f>
        <v>0</v>
      </c>
      <c r="L12" s="7">
        <f>K12/10.764</f>
        <v>0</v>
      </c>
      <c r="M12" s="1">
        <v>0</v>
      </c>
      <c r="N12" s="7">
        <f>M12*26.3066017753267</f>
        <v>0</v>
      </c>
      <c r="O12" s="4">
        <v>2.4</v>
      </c>
      <c r="P12" s="4">
        <v>1.2</v>
      </c>
      <c r="Q12" s="1">
        <v>18.75</v>
      </c>
      <c r="R12" s="1" t="s">
        <v>10</v>
      </c>
      <c r="S12" s="1" t="s">
        <v>10</v>
      </c>
      <c r="T12" s="1" t="s">
        <v>10</v>
      </c>
      <c r="U12" s="1" t="s">
        <v>10</v>
      </c>
      <c r="V12" s="1" t="s">
        <v>12</v>
      </c>
    </row>
    <row r="13" spans="1:22" x14ac:dyDescent="0.25">
      <c r="A13" s="1">
        <v>4</v>
      </c>
      <c r="B13" s="1">
        <v>3</v>
      </c>
      <c r="C13" s="1" t="s">
        <v>22</v>
      </c>
      <c r="D13" s="2">
        <v>44624</v>
      </c>
      <c r="E13" s="1">
        <v>29.889472000000001</v>
      </c>
      <c r="F13" s="1">
        <v>-82.265641000000002</v>
      </c>
      <c r="G13" s="7">
        <v>1.1738103600000001</v>
      </c>
      <c r="H13" s="7">
        <v>1.8780965760000001</v>
      </c>
      <c r="I13" s="7">
        <v>0.14190717944601491</v>
      </c>
      <c r="J13" s="7">
        <v>0.42049127999999997</v>
      </c>
      <c r="K13" s="7">
        <f>J13*M13*10</f>
        <v>75.688430399999987</v>
      </c>
      <c r="L13" s="7">
        <f>K13/10.764</f>
        <v>7.0316267558528418</v>
      </c>
      <c r="M13" s="1">
        <v>18</v>
      </c>
      <c r="N13" s="7">
        <f>M13*26.3066017753267</f>
        <v>473.51883195588061</v>
      </c>
      <c r="O13" s="3">
        <v>3</v>
      </c>
      <c r="P13" s="3">
        <v>0.6</v>
      </c>
      <c r="Q13" s="1">
        <v>15</v>
      </c>
      <c r="R13" s="1" t="s">
        <v>10</v>
      </c>
      <c r="S13" s="1">
        <v>14</v>
      </c>
      <c r="T13" s="1">
        <v>10</v>
      </c>
      <c r="U13" s="1" t="s">
        <v>10</v>
      </c>
      <c r="V13" s="1" t="s">
        <v>15</v>
      </c>
    </row>
    <row r="14" spans="1:22" x14ac:dyDescent="0.25">
      <c r="A14" s="1">
        <v>4</v>
      </c>
      <c r="B14" s="1">
        <v>4</v>
      </c>
      <c r="C14" s="1" t="s">
        <v>22</v>
      </c>
      <c r="D14" s="2">
        <v>44624</v>
      </c>
      <c r="E14" s="1">
        <v>29.885836000000001</v>
      </c>
      <c r="F14" s="1">
        <v>-82.266913000000002</v>
      </c>
      <c r="G14" s="7">
        <v>1.1316747999999996</v>
      </c>
      <c r="H14" s="7">
        <v>1.8106796799999996</v>
      </c>
      <c r="I14" s="7">
        <v>0.38402755869127347</v>
      </c>
      <c r="J14" s="7">
        <v>0.12906747473684213</v>
      </c>
      <c r="K14" s="7">
        <f>J14*M14*10</f>
        <v>49.045640400000011</v>
      </c>
      <c r="L14" s="7">
        <f>K14/10.764</f>
        <v>4.5564511705685629</v>
      </c>
      <c r="M14" s="1">
        <v>38</v>
      </c>
      <c r="N14" s="7">
        <f>M14*26.3066017753267</f>
        <v>999.65086746241468</v>
      </c>
      <c r="O14" s="3">
        <v>1.6</v>
      </c>
      <c r="P14" s="3">
        <v>0.6</v>
      </c>
      <c r="Q14" s="1">
        <v>33.75</v>
      </c>
      <c r="R14" s="1" t="s">
        <v>10</v>
      </c>
      <c r="S14" s="1">
        <v>10</v>
      </c>
      <c r="T14" s="1">
        <v>7</v>
      </c>
      <c r="U14" s="1" t="s">
        <v>10</v>
      </c>
      <c r="V14" s="1" t="s">
        <v>15</v>
      </c>
    </row>
    <row r="15" spans="1:22" x14ac:dyDescent="0.25">
      <c r="A15" s="1">
        <v>5</v>
      </c>
      <c r="B15" s="1">
        <v>1</v>
      </c>
      <c r="C15" s="1" t="s">
        <v>20</v>
      </c>
      <c r="D15" s="2">
        <v>44685</v>
      </c>
      <c r="E15" s="1">
        <v>29.958123499999999</v>
      </c>
      <c r="F15" s="1">
        <v>-82.229975100000004</v>
      </c>
      <c r="G15" s="7">
        <v>1.8181009230769232E-2</v>
      </c>
      <c r="H15" s="7">
        <v>2.9089614769230773E-2</v>
      </c>
      <c r="I15" s="7">
        <v>1.7518444804869936E-2</v>
      </c>
      <c r="J15" s="7">
        <v>0</v>
      </c>
      <c r="K15" s="7">
        <f>J15*M15*10</f>
        <v>0</v>
      </c>
      <c r="L15" s="7">
        <f>K15/10.764</f>
        <v>0</v>
      </c>
      <c r="M15" s="1">
        <v>0</v>
      </c>
      <c r="N15" s="7">
        <f>M15*26.3066017753267</f>
        <v>0</v>
      </c>
      <c r="O15" s="3">
        <v>2.2000000000000002</v>
      </c>
      <c r="P15" s="3">
        <v>0.8</v>
      </c>
      <c r="Q15" s="1">
        <v>36.25</v>
      </c>
      <c r="R15" s="1" t="s">
        <v>10</v>
      </c>
      <c r="S15" s="1" t="s">
        <v>10</v>
      </c>
      <c r="T15" s="1" t="s">
        <v>10</v>
      </c>
      <c r="U15" s="1" t="s">
        <v>10</v>
      </c>
      <c r="V15" s="1" t="s">
        <v>12</v>
      </c>
    </row>
    <row r="16" spans="1:22" x14ac:dyDescent="0.25">
      <c r="A16" s="1">
        <v>5</v>
      </c>
      <c r="B16" s="1">
        <v>2</v>
      </c>
      <c r="C16" s="1" t="s">
        <v>20</v>
      </c>
      <c r="D16" s="2">
        <v>44685</v>
      </c>
      <c r="E16" s="1">
        <v>29.9596537</v>
      </c>
      <c r="F16" s="1">
        <v>-82.230361299999998</v>
      </c>
      <c r="G16" s="7">
        <v>3.1994431999999993</v>
      </c>
      <c r="H16" s="7">
        <v>5.1191091199999992</v>
      </c>
      <c r="I16" s="7">
        <v>0.28290368476921612</v>
      </c>
      <c r="J16" s="7">
        <v>0.251666</v>
      </c>
      <c r="K16" s="7">
        <f>J16*M16*10</f>
        <v>138.41630000000001</v>
      </c>
      <c r="L16" s="7">
        <f>K16/10.764</f>
        <v>12.859188034188035</v>
      </c>
      <c r="M16" s="1">
        <v>55</v>
      </c>
      <c r="N16" s="7">
        <f>M16*26.3066017753267</f>
        <v>1446.8630976429686</v>
      </c>
      <c r="O16" s="3">
        <v>2.6</v>
      </c>
      <c r="P16" s="3">
        <v>0.6</v>
      </c>
      <c r="Q16" s="1">
        <v>12.5</v>
      </c>
      <c r="R16" s="1" t="s">
        <v>10</v>
      </c>
      <c r="S16" s="1">
        <v>13.5</v>
      </c>
      <c r="T16" s="1" t="s">
        <v>17</v>
      </c>
      <c r="U16" s="1">
        <v>8.5</v>
      </c>
      <c r="V16" s="1" t="s">
        <v>15</v>
      </c>
    </row>
    <row r="17" spans="1:22" x14ac:dyDescent="0.25">
      <c r="A17" s="1">
        <v>5</v>
      </c>
      <c r="B17" s="1">
        <v>3</v>
      </c>
      <c r="C17" s="1" t="s">
        <v>20</v>
      </c>
      <c r="D17" s="2">
        <v>44685</v>
      </c>
      <c r="E17" s="1">
        <v>29.958736099999999</v>
      </c>
      <c r="F17" s="1">
        <v>-82.229321299999995</v>
      </c>
      <c r="G17" s="7">
        <v>0.37584679999999998</v>
      </c>
      <c r="H17" s="7">
        <v>0.60135488000000004</v>
      </c>
      <c r="I17" s="7">
        <v>7.6878747942783293E-2</v>
      </c>
      <c r="J17" s="7">
        <v>0.46102700000000002</v>
      </c>
      <c r="K17" s="7">
        <f>J17*M17*10</f>
        <v>36.882159999999999</v>
      </c>
      <c r="L17" s="7">
        <f>K17/10.764</f>
        <v>3.4264362690449648</v>
      </c>
      <c r="M17" s="1">
        <v>8</v>
      </c>
      <c r="N17" s="7">
        <f>M17*26.3066017753267</f>
        <v>210.45281420261361</v>
      </c>
      <c r="O17" s="3">
        <v>18.100000000000001</v>
      </c>
      <c r="P17" s="3">
        <v>1</v>
      </c>
      <c r="Q17" s="1">
        <v>26.25</v>
      </c>
      <c r="R17" s="1" t="s">
        <v>10</v>
      </c>
      <c r="S17" s="1">
        <v>12</v>
      </c>
      <c r="T17" s="1">
        <v>9</v>
      </c>
      <c r="U17" s="1">
        <v>5</v>
      </c>
      <c r="V17" s="1" t="s">
        <v>18</v>
      </c>
    </row>
    <row r="18" spans="1:22" x14ac:dyDescent="0.25">
      <c r="A18" s="1">
        <v>6</v>
      </c>
      <c r="B18" s="1">
        <v>1</v>
      </c>
      <c r="C18" s="1">
        <v>9</v>
      </c>
      <c r="D18" s="2">
        <v>44686</v>
      </c>
      <c r="E18" s="1">
        <v>29.912437600000001</v>
      </c>
      <c r="F18" s="1">
        <v>-82.243859900000004</v>
      </c>
      <c r="G18" s="7">
        <v>3.0731726923076912</v>
      </c>
      <c r="H18" s="7">
        <v>4.9170763076923061</v>
      </c>
      <c r="I18" s="7">
        <v>0.52007864681071747</v>
      </c>
      <c r="J18" s="7">
        <v>0.37781903249999998</v>
      </c>
      <c r="K18" s="7">
        <f>J18*M18*10</f>
        <v>181.3531356</v>
      </c>
      <c r="L18" s="7">
        <f>K18/10.764</f>
        <v>16.848117391304349</v>
      </c>
      <c r="M18" s="1">
        <v>48</v>
      </c>
      <c r="N18" s="7">
        <f>M18*26.3066017753267</f>
        <v>1262.7168852156817</v>
      </c>
      <c r="O18" s="3">
        <v>80.000000000000014</v>
      </c>
      <c r="P18" s="3">
        <v>62.666666666666657</v>
      </c>
      <c r="Q18" s="1">
        <v>27.5</v>
      </c>
      <c r="R18" s="1">
        <v>15.5</v>
      </c>
      <c r="S18" s="1">
        <v>13</v>
      </c>
      <c r="T18" s="1">
        <v>12</v>
      </c>
      <c r="U18" s="1">
        <v>9</v>
      </c>
      <c r="V18" s="1" t="s">
        <v>49</v>
      </c>
    </row>
    <row r="19" spans="1:22" x14ac:dyDescent="0.25">
      <c r="A19" s="1">
        <v>6</v>
      </c>
      <c r="B19" s="1">
        <v>2</v>
      </c>
      <c r="C19" s="1">
        <v>9</v>
      </c>
      <c r="D19" s="2">
        <v>44686</v>
      </c>
      <c r="E19" s="1">
        <v>29.914216499999998</v>
      </c>
      <c r="F19" s="1">
        <v>-82.232250300000004</v>
      </c>
      <c r="G19" s="7">
        <v>1.4958003846153844</v>
      </c>
      <c r="H19" s="7">
        <v>2.3932806153846151</v>
      </c>
      <c r="I19" s="7">
        <v>0.13955102474667164</v>
      </c>
      <c r="J19" s="7">
        <v>0.45413120571428578</v>
      </c>
      <c r="K19" s="7">
        <f>J19*M19*10</f>
        <v>127.15673760000001</v>
      </c>
      <c r="L19" s="7">
        <f>K19/10.764</f>
        <v>11.813149163879601</v>
      </c>
      <c r="M19" s="1">
        <v>28</v>
      </c>
      <c r="N19" s="7">
        <f>M19*26.3066017753267</f>
        <v>736.58484970914765</v>
      </c>
      <c r="O19" s="3">
        <v>4.1999999999999993</v>
      </c>
      <c r="P19" s="3">
        <v>23.800000000000008</v>
      </c>
      <c r="Q19" s="1">
        <v>7.5</v>
      </c>
      <c r="R19" s="1" t="s">
        <v>10</v>
      </c>
      <c r="S19" s="1">
        <v>15</v>
      </c>
      <c r="T19" s="1" t="s">
        <v>10</v>
      </c>
      <c r="U19" s="1" t="s">
        <v>10</v>
      </c>
      <c r="V19" s="1" t="s">
        <v>15</v>
      </c>
    </row>
    <row r="20" spans="1:22" x14ac:dyDescent="0.25">
      <c r="A20" s="1">
        <v>6</v>
      </c>
      <c r="B20" s="1">
        <v>3</v>
      </c>
      <c r="C20" s="1">
        <v>9</v>
      </c>
      <c r="D20" s="2">
        <v>44686</v>
      </c>
      <c r="E20" s="1">
        <v>29.911460300000002</v>
      </c>
      <c r="F20" s="1">
        <v>-82.2406091</v>
      </c>
      <c r="G20" s="7">
        <v>0.25470026923076922</v>
      </c>
      <c r="H20" s="7">
        <v>0.40752043076923078</v>
      </c>
      <c r="I20" s="7">
        <v>1.6447365485226358E-2</v>
      </c>
      <c r="J20" s="7">
        <v>0</v>
      </c>
      <c r="K20" s="7">
        <f>J20*M20*10</f>
        <v>0</v>
      </c>
      <c r="L20" s="7">
        <f>K20/10.764</f>
        <v>0</v>
      </c>
      <c r="M20" s="1">
        <v>0</v>
      </c>
      <c r="N20" s="7">
        <f>M20*26.3066017753267</f>
        <v>0</v>
      </c>
      <c r="O20" s="3">
        <v>4.0000000000000036</v>
      </c>
      <c r="P20" s="3">
        <v>1.2000000000000099</v>
      </c>
      <c r="Q20" s="1">
        <v>24.25</v>
      </c>
      <c r="R20" s="1" t="s">
        <v>10</v>
      </c>
      <c r="S20" s="1" t="s">
        <v>10</v>
      </c>
      <c r="T20" s="1" t="s">
        <v>10</v>
      </c>
      <c r="U20" s="1" t="s">
        <v>10</v>
      </c>
      <c r="V20" s="1" t="s">
        <v>12</v>
      </c>
    </row>
    <row r="21" spans="1:22" x14ac:dyDescent="0.25">
      <c r="A21" s="1">
        <v>7</v>
      </c>
      <c r="B21" s="1">
        <v>1</v>
      </c>
      <c r="C21" s="1">
        <v>14</v>
      </c>
      <c r="D21" s="2">
        <v>44693</v>
      </c>
      <c r="E21" s="1">
        <v>29.919662299999999</v>
      </c>
      <c r="F21" s="1">
        <v>-82.273174699999998</v>
      </c>
      <c r="G21" s="7">
        <v>1.6989184615384618</v>
      </c>
      <c r="H21" s="7">
        <v>2.7182695384615392</v>
      </c>
      <c r="I21" s="7">
        <v>0.15789937407582863</v>
      </c>
      <c r="J21" s="7">
        <v>0.30004542765957443</v>
      </c>
      <c r="K21" s="7">
        <f>J21*M21*10</f>
        <v>141.02135099999998</v>
      </c>
      <c r="L21" s="7">
        <f>K21/10.764</f>
        <v>13.101203177257524</v>
      </c>
      <c r="M21" s="1">
        <v>47</v>
      </c>
      <c r="N21" s="7">
        <f>M21*26.3066017753267</f>
        <v>1236.410283440355</v>
      </c>
      <c r="O21" s="3">
        <v>5</v>
      </c>
      <c r="P21" s="3">
        <v>2.2000000000000064</v>
      </c>
      <c r="Q21" s="1">
        <v>6.25</v>
      </c>
      <c r="R21" s="1" t="s">
        <v>10</v>
      </c>
      <c r="S21" s="1" t="s">
        <v>10</v>
      </c>
      <c r="T21" s="1">
        <v>10.5</v>
      </c>
      <c r="U21" s="1" t="s">
        <v>10</v>
      </c>
      <c r="V21" s="1" t="s">
        <v>15</v>
      </c>
    </row>
    <row r="22" spans="1:22" x14ac:dyDescent="0.25">
      <c r="A22" s="1">
        <v>7</v>
      </c>
      <c r="B22" s="1">
        <v>2</v>
      </c>
      <c r="C22" s="1">
        <v>14</v>
      </c>
      <c r="D22" s="2">
        <v>44693</v>
      </c>
      <c r="E22" s="1">
        <v>29.924340399999998</v>
      </c>
      <c r="F22" s="1">
        <v>-82.276668299999997</v>
      </c>
      <c r="G22" s="7">
        <v>0.69065644000000004</v>
      </c>
      <c r="H22" s="7">
        <v>1.1050503040000001</v>
      </c>
      <c r="I22" s="7">
        <v>0.16154807740166174</v>
      </c>
      <c r="J22" s="7">
        <v>5.9946042413793095E-2</v>
      </c>
      <c r="K22" s="7">
        <f>J22*M22*10</f>
        <v>34.768704599999992</v>
      </c>
      <c r="L22" s="7">
        <f>K22/10.764</f>
        <v>3.2300914715719058</v>
      </c>
      <c r="M22" s="1">
        <v>58</v>
      </c>
      <c r="N22" s="7">
        <f>M22*26.3066017753267</f>
        <v>1525.7829029689487</v>
      </c>
      <c r="O22" s="3">
        <v>1.6000000000000014</v>
      </c>
      <c r="P22" s="3">
        <v>0.60000000000000497</v>
      </c>
      <c r="Q22" s="1">
        <v>28.75</v>
      </c>
      <c r="R22" s="1" t="s">
        <v>10</v>
      </c>
      <c r="S22" s="1" t="s">
        <v>10</v>
      </c>
      <c r="T22" s="1">
        <v>7</v>
      </c>
      <c r="U22" s="1" t="s">
        <v>10</v>
      </c>
      <c r="V22" s="1" t="s">
        <v>23</v>
      </c>
    </row>
    <row r="23" spans="1:22" x14ac:dyDescent="0.25">
      <c r="A23" s="1">
        <v>7</v>
      </c>
      <c r="B23" s="1">
        <v>3</v>
      </c>
      <c r="C23" s="1">
        <v>14</v>
      </c>
      <c r="D23" s="2">
        <v>44693</v>
      </c>
      <c r="E23" s="1">
        <v>29.923247</v>
      </c>
      <c r="F23" s="1">
        <v>-82.276688100000001</v>
      </c>
      <c r="G23" s="7">
        <v>0.74441784615384599</v>
      </c>
      <c r="H23" s="7">
        <v>1.1910685538461536</v>
      </c>
      <c r="I23" s="7">
        <v>0.23894820342336898</v>
      </c>
      <c r="J23" s="7">
        <v>7.391708307692306E-2</v>
      </c>
      <c r="K23" s="7">
        <f>J23*M23*10</f>
        <v>28.827662399999991</v>
      </c>
      <c r="L23" s="7">
        <f>K23/10.764</f>
        <v>2.6781551839464877</v>
      </c>
      <c r="M23" s="1">
        <v>39</v>
      </c>
      <c r="N23" s="7">
        <f>M23*26.3066017753267</f>
        <v>1025.9574692377414</v>
      </c>
      <c r="O23" s="3">
        <v>3.2000000000000028</v>
      </c>
      <c r="P23" s="3">
        <v>0.99999999999999634</v>
      </c>
      <c r="Q23" s="1">
        <v>35</v>
      </c>
      <c r="R23" s="1" t="s">
        <v>10</v>
      </c>
      <c r="S23" s="1" t="s">
        <v>10</v>
      </c>
      <c r="T23" s="1">
        <v>5</v>
      </c>
      <c r="U23" s="1" t="s">
        <v>10</v>
      </c>
      <c r="V23" s="1" t="s">
        <v>23</v>
      </c>
    </row>
    <row r="24" spans="1:22" x14ac:dyDescent="0.25">
      <c r="A24" s="1">
        <v>7</v>
      </c>
      <c r="B24" s="1">
        <v>4</v>
      </c>
      <c r="C24" s="1">
        <v>14</v>
      </c>
      <c r="D24" s="2">
        <v>44693</v>
      </c>
      <c r="E24" s="1">
        <v>29.928983500000001</v>
      </c>
      <c r="F24" s="1">
        <v>-82.273330999999999</v>
      </c>
      <c r="G24" s="7">
        <v>4.4210962962962972</v>
      </c>
      <c r="H24" s="7">
        <v>7.0737540740740759</v>
      </c>
      <c r="I24" s="7">
        <v>1.0083840165987854</v>
      </c>
      <c r="J24" s="7">
        <v>0.22155456960000006</v>
      </c>
      <c r="K24" s="7">
        <f>J24*M24*10</f>
        <v>110.77728480000003</v>
      </c>
      <c r="L24" s="7">
        <f>K24/10.764</f>
        <v>10.291460869565221</v>
      </c>
      <c r="M24" s="1">
        <v>50</v>
      </c>
      <c r="N24" s="7">
        <f>M24*26.3066017753267</f>
        <v>1315.3300887663352</v>
      </c>
      <c r="O24" s="3">
        <v>23.000000000000011</v>
      </c>
      <c r="P24" s="3">
        <v>8.3333333333333321</v>
      </c>
      <c r="Q24" s="1">
        <v>42.5</v>
      </c>
      <c r="R24" s="1" t="s">
        <v>10</v>
      </c>
      <c r="S24" s="1">
        <v>7</v>
      </c>
      <c r="T24" s="1">
        <v>10.5</v>
      </c>
      <c r="U24" s="1">
        <v>12</v>
      </c>
      <c r="V24" s="1" t="s">
        <v>49</v>
      </c>
    </row>
    <row r="25" spans="1:22" x14ac:dyDescent="0.25">
      <c r="A25" s="1">
        <v>8</v>
      </c>
      <c r="B25" s="1">
        <v>1</v>
      </c>
      <c r="C25" s="1">
        <v>3</v>
      </c>
      <c r="D25" s="2">
        <v>44837</v>
      </c>
      <c r="E25" s="1">
        <v>29.9997507</v>
      </c>
      <c r="F25" s="1">
        <v>-82.212703300000001</v>
      </c>
      <c r="G25" s="7">
        <v>1.615767692307692</v>
      </c>
      <c r="H25" s="7">
        <v>2.5852283076923075</v>
      </c>
      <c r="I25" s="7">
        <v>0.21443182469601405</v>
      </c>
      <c r="J25" s="7">
        <v>0.32395669199999999</v>
      </c>
      <c r="K25" s="7">
        <f>J25*M25*10</f>
        <v>80.989172999999994</v>
      </c>
      <c r="L25" s="7">
        <f>K25/10.764</f>
        <v>7.5240777591973247</v>
      </c>
      <c r="M25" s="1">
        <v>25</v>
      </c>
      <c r="N25" s="7">
        <f>M25*26.3066017753267</f>
        <v>657.66504438316758</v>
      </c>
      <c r="O25" s="5">
        <v>5.8000000000000007</v>
      </c>
      <c r="P25" s="5">
        <v>0.40000000000000918</v>
      </c>
      <c r="Q25" s="1">
        <v>31.25</v>
      </c>
      <c r="R25" s="1" t="s">
        <v>10</v>
      </c>
      <c r="S25" s="1">
        <v>10</v>
      </c>
      <c r="T25" s="1" t="s">
        <v>10</v>
      </c>
      <c r="U25" s="1" t="s">
        <v>10</v>
      </c>
      <c r="V25" s="1" t="s">
        <v>15</v>
      </c>
    </row>
    <row r="26" spans="1:22" x14ac:dyDescent="0.25">
      <c r="A26" s="1">
        <v>8</v>
      </c>
      <c r="B26" s="1">
        <v>2</v>
      </c>
      <c r="C26" s="1">
        <v>3</v>
      </c>
      <c r="D26" s="2">
        <v>44837</v>
      </c>
      <c r="E26" s="1">
        <v>29.990563399999999</v>
      </c>
      <c r="F26" s="1">
        <v>-82.207987700000004</v>
      </c>
      <c r="G26" s="7">
        <v>0.7378568333333333</v>
      </c>
      <c r="H26" s="7">
        <v>1.1805709333333334</v>
      </c>
      <c r="I26" s="7">
        <v>0.26371541144025218</v>
      </c>
      <c r="J26" s="7">
        <v>6.1197775714285717E-2</v>
      </c>
      <c r="K26" s="7">
        <f>J26*M26*10</f>
        <v>17.135377200000001</v>
      </c>
      <c r="L26" s="7">
        <f>K26/10.764</f>
        <v>1.5919153846153848</v>
      </c>
      <c r="M26" s="1">
        <v>28</v>
      </c>
      <c r="N26" s="7">
        <f>M26*26.3066017753267</f>
        <v>736.58484970914765</v>
      </c>
      <c r="O26" s="5">
        <v>5.8000000000000007</v>
      </c>
      <c r="P26" s="5">
        <v>1.4000000000000057</v>
      </c>
      <c r="Q26" s="1">
        <v>4.25</v>
      </c>
      <c r="R26" s="1" t="s">
        <v>10</v>
      </c>
      <c r="S26" s="1">
        <v>4</v>
      </c>
      <c r="T26" s="1">
        <v>2.5</v>
      </c>
      <c r="U26" s="1" t="s">
        <v>10</v>
      </c>
      <c r="V26" s="1" t="s">
        <v>23</v>
      </c>
    </row>
    <row r="27" spans="1:22" x14ac:dyDescent="0.25">
      <c r="A27" s="1">
        <v>9</v>
      </c>
      <c r="B27" s="1">
        <v>1</v>
      </c>
      <c r="C27" s="1">
        <v>7</v>
      </c>
      <c r="D27" s="2">
        <v>44858</v>
      </c>
      <c r="E27" s="1">
        <v>29.975237400000001</v>
      </c>
      <c r="F27" s="1">
        <v>-82.227624800000001</v>
      </c>
      <c r="G27" s="7">
        <v>3.7225692000000006</v>
      </c>
      <c r="H27" s="7">
        <v>5.9561107200000016</v>
      </c>
      <c r="I27" s="7">
        <v>0.19278508072289549</v>
      </c>
      <c r="J27" s="7">
        <v>0.23215064625000001</v>
      </c>
      <c r="K27" s="7">
        <f>J27*M27*10</f>
        <v>111.4323102</v>
      </c>
      <c r="L27" s="7">
        <f>K27/10.764</f>
        <v>10.352314214046825</v>
      </c>
      <c r="M27" s="1">
        <v>48</v>
      </c>
      <c r="N27" s="7">
        <f>M27*26.3066017753267</f>
        <v>1262.7168852156817</v>
      </c>
      <c r="O27" s="5">
        <v>3.0000000000000071</v>
      </c>
      <c r="P27" s="5">
        <v>1.0000000000000142</v>
      </c>
      <c r="Q27" s="1">
        <v>11.25</v>
      </c>
      <c r="R27" s="1" t="s">
        <v>10</v>
      </c>
      <c r="S27" s="1">
        <v>11</v>
      </c>
      <c r="T27" s="1" t="s">
        <v>10</v>
      </c>
      <c r="U27" s="1">
        <v>6.5</v>
      </c>
      <c r="V27" s="1" t="s">
        <v>15</v>
      </c>
    </row>
    <row r="28" spans="1:22" x14ac:dyDescent="0.25">
      <c r="A28" s="1">
        <v>9</v>
      </c>
      <c r="B28" s="1">
        <v>2</v>
      </c>
      <c r="C28" s="1">
        <v>7</v>
      </c>
      <c r="D28" s="2">
        <v>44858</v>
      </c>
      <c r="E28" s="1">
        <v>29.976559699999999</v>
      </c>
      <c r="F28" s="1">
        <v>-82.228533400000003</v>
      </c>
      <c r="G28" s="7">
        <v>3.1966720000000004</v>
      </c>
      <c r="H28" s="7">
        <v>5.1146752000000006</v>
      </c>
      <c r="I28" s="7">
        <v>0.24327078093830609</v>
      </c>
      <c r="J28" s="7">
        <v>0.33910374857142861</v>
      </c>
      <c r="K28" s="7">
        <f>J28*M28*10</f>
        <v>142.42357440000001</v>
      </c>
      <c r="L28" s="7">
        <f>K28/10.764</f>
        <v>13.231472909698999</v>
      </c>
      <c r="M28" s="1">
        <v>42</v>
      </c>
      <c r="N28" s="7">
        <f>M28*26.3066017753267</f>
        <v>1104.8772745637214</v>
      </c>
      <c r="O28" s="5">
        <v>32.199999999999996</v>
      </c>
      <c r="P28" s="5">
        <v>8.5999999999999943</v>
      </c>
      <c r="Q28" s="1">
        <v>22.5</v>
      </c>
      <c r="R28" s="1">
        <v>23</v>
      </c>
      <c r="S28" s="1">
        <v>17</v>
      </c>
      <c r="T28" s="1">
        <v>13.5</v>
      </c>
      <c r="U28" s="1">
        <v>8</v>
      </c>
      <c r="V28" s="1" t="s">
        <v>49</v>
      </c>
    </row>
    <row r="29" spans="1:22" x14ac:dyDescent="0.25">
      <c r="A29" s="1">
        <v>9</v>
      </c>
      <c r="B29" s="1">
        <v>3</v>
      </c>
      <c r="C29" s="1">
        <v>7</v>
      </c>
      <c r="D29" s="2">
        <v>44858</v>
      </c>
      <c r="E29" s="1">
        <v>29.975919000000001</v>
      </c>
      <c r="F29" s="1">
        <v>-82.2269443</v>
      </c>
      <c r="G29" s="7">
        <v>1.5830035999999998</v>
      </c>
      <c r="H29" s="7">
        <v>2.53280576</v>
      </c>
      <c r="I29" s="7">
        <v>0.19631762567075045</v>
      </c>
      <c r="J29" s="7">
        <v>0.38518045043478266</v>
      </c>
      <c r="K29" s="7">
        <f>J29*M29*10</f>
        <v>88.59150360000001</v>
      </c>
      <c r="L29" s="7">
        <f>K29/10.764</f>
        <v>8.2303515050167242</v>
      </c>
      <c r="M29" s="1">
        <v>23</v>
      </c>
      <c r="N29" s="7">
        <f>M29*26.3066017753267</f>
        <v>605.05184083251413</v>
      </c>
      <c r="O29" s="5">
        <v>5.8000000000000007</v>
      </c>
      <c r="P29" s="5">
        <v>1.0000000000000142</v>
      </c>
      <c r="Q29" s="1">
        <v>16.25</v>
      </c>
      <c r="R29" s="1" t="s">
        <v>10</v>
      </c>
      <c r="S29" s="1">
        <v>11</v>
      </c>
      <c r="T29" s="1" t="s">
        <v>10</v>
      </c>
      <c r="U29" s="1">
        <v>4.8</v>
      </c>
      <c r="V29" s="1" t="s">
        <v>15</v>
      </c>
    </row>
    <row r="30" spans="1:22" x14ac:dyDescent="0.25">
      <c r="A30" s="1">
        <v>9</v>
      </c>
      <c r="B30" s="1">
        <v>4</v>
      </c>
      <c r="C30" s="1">
        <v>7</v>
      </c>
      <c r="D30" s="2">
        <v>44858</v>
      </c>
      <c r="E30" s="1">
        <v>29.9734023</v>
      </c>
      <c r="F30" s="1">
        <v>-82.228518600000001</v>
      </c>
      <c r="G30" s="7">
        <v>1.3242554000000002</v>
      </c>
      <c r="H30" s="7">
        <v>2.1188086400000006</v>
      </c>
      <c r="I30" s="7">
        <v>0.23065533355131074</v>
      </c>
      <c r="J30" s="7">
        <v>0.50554489499999999</v>
      </c>
      <c r="K30" s="7">
        <f>J30*M30*10</f>
        <v>60.6653874</v>
      </c>
      <c r="L30" s="7">
        <f>K30/10.764</f>
        <v>5.6359520066889637</v>
      </c>
      <c r="M30" s="1">
        <v>12</v>
      </c>
      <c r="N30" s="7">
        <f>M30*26.3066017753267</f>
        <v>315.67922130392043</v>
      </c>
      <c r="O30" s="5">
        <v>9.0000000000000036</v>
      </c>
      <c r="P30" s="5">
        <v>1.4000000000000057</v>
      </c>
      <c r="Q30" s="1">
        <v>35.5</v>
      </c>
      <c r="R30" s="1" t="s">
        <v>10</v>
      </c>
      <c r="S30" s="1">
        <v>11</v>
      </c>
      <c r="T30" s="1" t="s">
        <v>10</v>
      </c>
      <c r="U30" s="1" t="s">
        <v>10</v>
      </c>
      <c r="V30" s="1" t="s">
        <v>15</v>
      </c>
    </row>
    <row r="31" spans="1:22" x14ac:dyDescent="0.25">
      <c r="A31" s="1">
        <v>9</v>
      </c>
      <c r="B31" s="1">
        <v>5</v>
      </c>
      <c r="C31" s="1">
        <v>7</v>
      </c>
      <c r="D31" s="2">
        <v>44858</v>
      </c>
      <c r="E31" s="1">
        <v>29.968094900000001</v>
      </c>
      <c r="F31" s="1">
        <v>-82.230861200000007</v>
      </c>
      <c r="G31" s="7">
        <v>3.4428584000000004</v>
      </c>
      <c r="H31" s="7">
        <v>5.508573440000001</v>
      </c>
      <c r="I31" s="7">
        <v>0.19182533814818795</v>
      </c>
      <c r="J31" s="7">
        <v>0.24752329714285706</v>
      </c>
      <c r="K31" s="7">
        <f>J31*M31*10</f>
        <v>103.95978479999997</v>
      </c>
      <c r="L31" s="7">
        <f>K31/10.764</f>
        <v>9.6580996655518376</v>
      </c>
      <c r="M31" s="1">
        <v>42</v>
      </c>
      <c r="N31" s="7">
        <f>M31*26.3066017753267</f>
        <v>1104.8772745637214</v>
      </c>
      <c r="O31" s="5">
        <v>3.8000000000000074</v>
      </c>
      <c r="P31" s="5">
        <v>1.4000000000000057</v>
      </c>
      <c r="Q31" s="1">
        <v>4.25</v>
      </c>
      <c r="R31" s="1" t="s">
        <v>10</v>
      </c>
      <c r="S31" s="1">
        <v>14.4</v>
      </c>
      <c r="T31" s="1" t="s">
        <v>10</v>
      </c>
      <c r="U31" s="1" t="s">
        <v>10</v>
      </c>
      <c r="V31" s="1" t="s">
        <v>15</v>
      </c>
    </row>
    <row r="32" spans="1:22" x14ac:dyDescent="0.25">
      <c r="A32" s="1">
        <v>10</v>
      </c>
      <c r="B32" s="1">
        <v>1</v>
      </c>
      <c r="C32" s="1">
        <v>14</v>
      </c>
      <c r="D32" s="2">
        <v>44860</v>
      </c>
      <c r="E32" s="1">
        <v>29.909205400000001</v>
      </c>
      <c r="F32" s="1">
        <v>-82.276344399999999</v>
      </c>
      <c r="G32" s="7">
        <v>2.1048459999999998</v>
      </c>
      <c r="H32" s="7">
        <v>3.3677535999999999</v>
      </c>
      <c r="I32" s="7">
        <v>0.10277085343941957</v>
      </c>
      <c r="J32" s="7">
        <v>0.38615559545454547</v>
      </c>
      <c r="K32" s="7">
        <f>J32*M32*10</f>
        <v>84.954230999999993</v>
      </c>
      <c r="L32" s="7">
        <f>K32/10.764</f>
        <v>7.8924406354515044</v>
      </c>
      <c r="M32" s="1">
        <v>22</v>
      </c>
      <c r="N32" s="7">
        <f>M32*26.3066017753267</f>
        <v>578.7452390571874</v>
      </c>
      <c r="O32" s="5">
        <v>8.8000000000000078</v>
      </c>
      <c r="P32" s="5">
        <v>0.19999999999999576</v>
      </c>
      <c r="Q32" s="1">
        <v>18.75</v>
      </c>
      <c r="R32" s="1" t="s">
        <v>10</v>
      </c>
      <c r="S32" s="1">
        <v>13.2</v>
      </c>
      <c r="T32" s="1" t="s">
        <v>10</v>
      </c>
      <c r="U32" s="1" t="s">
        <v>10</v>
      </c>
      <c r="V32" s="1" t="s">
        <v>15</v>
      </c>
    </row>
    <row r="33" spans="1:22" x14ac:dyDescent="0.25">
      <c r="A33" s="1">
        <v>10</v>
      </c>
      <c r="B33" s="1">
        <v>2</v>
      </c>
      <c r="C33" s="1">
        <v>14</v>
      </c>
      <c r="D33" s="2">
        <v>44860</v>
      </c>
      <c r="E33" s="1">
        <v>29.911385299999999</v>
      </c>
      <c r="F33" s="1">
        <v>-82.280011700000003</v>
      </c>
      <c r="G33" s="7">
        <v>2.2173191999999995</v>
      </c>
      <c r="H33" s="7">
        <v>3.5477107199999995</v>
      </c>
      <c r="I33" s="7">
        <v>0.11017527024851506</v>
      </c>
      <c r="J33" s="7">
        <v>0.28559611285714287</v>
      </c>
      <c r="K33" s="7">
        <f>J33*M33*10</f>
        <v>119.9503674</v>
      </c>
      <c r="L33" s="7">
        <f>K33/10.764</f>
        <v>11.143661036789299</v>
      </c>
      <c r="M33" s="1">
        <v>42</v>
      </c>
      <c r="N33" s="7">
        <f>M33*26.3066017753267</f>
        <v>1104.8772745637214</v>
      </c>
      <c r="O33" s="5">
        <v>3.8000000000000074</v>
      </c>
      <c r="P33" s="5">
        <v>1.4000000000000057</v>
      </c>
      <c r="Q33" s="1">
        <v>5.75</v>
      </c>
      <c r="R33" s="1" t="s">
        <v>10</v>
      </c>
      <c r="S33" s="1">
        <v>9.5</v>
      </c>
      <c r="T33" s="1" t="s">
        <v>10</v>
      </c>
      <c r="U33" s="1" t="s">
        <v>10</v>
      </c>
      <c r="V33" s="1" t="s">
        <v>15</v>
      </c>
    </row>
    <row r="34" spans="1:22" x14ac:dyDescent="0.25">
      <c r="A34" s="1">
        <v>10</v>
      </c>
      <c r="B34" s="1">
        <v>3</v>
      </c>
      <c r="C34" s="1">
        <v>14</v>
      </c>
      <c r="D34" s="2">
        <v>44860</v>
      </c>
      <c r="E34" s="1">
        <v>29.908071100000001</v>
      </c>
      <c r="F34" s="1">
        <v>-82.289184899999995</v>
      </c>
      <c r="G34" s="7">
        <v>0.90424832000000011</v>
      </c>
      <c r="H34" s="7">
        <v>1.4467973120000002</v>
      </c>
      <c r="I34" s="7">
        <v>0.38698105650263165</v>
      </c>
      <c r="J34" s="7">
        <v>9.2209687200000001E-2</v>
      </c>
      <c r="K34" s="7">
        <f>J34*M34*10</f>
        <v>23.052421800000001</v>
      </c>
      <c r="L34" s="7">
        <f>K34/10.764</f>
        <v>2.1416222408026759</v>
      </c>
      <c r="M34" s="1">
        <v>25</v>
      </c>
      <c r="N34" s="7">
        <f>M34*26.3066017753267</f>
        <v>657.66504438316758</v>
      </c>
      <c r="O34" s="5">
        <v>3.5999999999999943</v>
      </c>
      <c r="P34" s="5">
        <v>0.40000000000000918</v>
      </c>
      <c r="Q34" s="1">
        <v>61.25</v>
      </c>
      <c r="R34" s="1" t="s">
        <v>10</v>
      </c>
      <c r="S34" s="1">
        <v>6</v>
      </c>
      <c r="T34" s="1" t="s">
        <v>10</v>
      </c>
      <c r="U34" s="1" t="s">
        <v>10</v>
      </c>
      <c r="V34" s="1" t="s">
        <v>23</v>
      </c>
    </row>
    <row r="35" spans="1:22" x14ac:dyDescent="0.25">
      <c r="A35" s="1">
        <v>10</v>
      </c>
      <c r="B35" s="1">
        <v>4</v>
      </c>
      <c r="C35" s="1">
        <v>14</v>
      </c>
      <c r="D35" s="2">
        <v>44860</v>
      </c>
      <c r="E35" s="1">
        <v>29.910250000000001</v>
      </c>
      <c r="F35" s="1">
        <v>-82.290400000000005</v>
      </c>
      <c r="G35" s="7">
        <v>2.2875443999999998</v>
      </c>
      <c r="H35" s="7">
        <v>3.6600710400000001</v>
      </c>
      <c r="I35" s="7">
        <v>0.11782011748423953</v>
      </c>
      <c r="J35" s="7">
        <v>0.34678236375000004</v>
      </c>
      <c r="K35" s="7">
        <f>J35*M35*10</f>
        <v>110.97035640000001</v>
      </c>
      <c r="L35" s="7">
        <f>K35/10.764</f>
        <v>10.309397658862878</v>
      </c>
      <c r="M35" s="1">
        <v>32</v>
      </c>
      <c r="N35" s="7">
        <f>M35*26.3066017753267</f>
        <v>841.81125681045444</v>
      </c>
      <c r="O35" s="5">
        <v>1.7999999999999972</v>
      </c>
      <c r="P35" s="5">
        <v>0.2000000000000135</v>
      </c>
      <c r="Q35" s="1">
        <v>3.75</v>
      </c>
      <c r="R35" s="1" t="s">
        <v>10</v>
      </c>
      <c r="S35" s="1">
        <v>11.5</v>
      </c>
      <c r="T35" s="1">
        <v>8</v>
      </c>
      <c r="U35" s="1" t="s">
        <v>10</v>
      </c>
      <c r="V35" s="1" t="s">
        <v>15</v>
      </c>
    </row>
    <row r="36" spans="1:22" x14ac:dyDescent="0.25">
      <c r="A36" s="1">
        <v>10</v>
      </c>
      <c r="B36" s="1">
        <v>5</v>
      </c>
      <c r="C36" s="1">
        <v>14</v>
      </c>
      <c r="D36" s="2">
        <v>44860</v>
      </c>
      <c r="E36" s="1">
        <v>29.906367100000001</v>
      </c>
      <c r="F36" s="1">
        <v>-82.298755</v>
      </c>
      <c r="G36" s="7">
        <v>0.68513771999999984</v>
      </c>
      <c r="H36" s="7">
        <v>1.0962203519999998</v>
      </c>
      <c r="I36" s="7">
        <v>0.16544210012280261</v>
      </c>
      <c r="J36" s="7">
        <v>4.0758673170731709E-2</v>
      </c>
      <c r="K36" s="7">
        <f>J36*M36*10</f>
        <v>16.711055999999999</v>
      </c>
      <c r="L36" s="7">
        <f>K36/10.764</f>
        <v>1.5524949832775921</v>
      </c>
      <c r="M36" s="1">
        <v>41</v>
      </c>
      <c r="N36" s="7">
        <f>M36*26.3066017753267</f>
        <v>1078.5706727883949</v>
      </c>
      <c r="O36" s="5">
        <v>4.0000000000000036</v>
      </c>
      <c r="P36" s="5">
        <v>2.4000000000000021</v>
      </c>
      <c r="Q36" s="1">
        <v>80</v>
      </c>
      <c r="R36" s="1" t="s">
        <v>10</v>
      </c>
      <c r="S36" s="1">
        <v>4</v>
      </c>
      <c r="T36" s="1" t="s">
        <v>10</v>
      </c>
      <c r="U36" s="1" t="s">
        <v>10</v>
      </c>
      <c r="V36" s="1" t="s">
        <v>23</v>
      </c>
    </row>
    <row r="37" spans="1:22" x14ac:dyDescent="0.25">
      <c r="A37" s="1">
        <v>10</v>
      </c>
      <c r="B37" s="1">
        <v>6</v>
      </c>
      <c r="C37" s="1">
        <v>14</v>
      </c>
      <c r="D37" s="2">
        <v>44860</v>
      </c>
      <c r="E37" s="1">
        <v>29.911031300000001</v>
      </c>
      <c r="F37" s="1">
        <v>-82.275604200000004</v>
      </c>
      <c r="G37" s="7">
        <v>2.1299683999999997</v>
      </c>
      <c r="H37" s="7">
        <v>3.4079494399999994</v>
      </c>
      <c r="I37" s="7">
        <v>0.11108365926483817</v>
      </c>
      <c r="J37" s="7">
        <v>0.32139099818181815</v>
      </c>
      <c r="K37" s="7">
        <f>J37*M37*10</f>
        <v>106.0590294</v>
      </c>
      <c r="L37" s="7">
        <f>K37/10.764</f>
        <v>9.853124247491639</v>
      </c>
      <c r="M37" s="1">
        <v>33</v>
      </c>
      <c r="N37" s="7">
        <f>M37*26.3066017753267</f>
        <v>868.11785858578116</v>
      </c>
      <c r="O37" s="5">
        <v>4.1999999999999993</v>
      </c>
      <c r="P37" s="5">
        <v>0.39999999999999153</v>
      </c>
      <c r="Q37" s="1">
        <v>1.25</v>
      </c>
      <c r="R37" s="1" t="s">
        <v>10</v>
      </c>
      <c r="S37" s="1">
        <v>11</v>
      </c>
      <c r="T37" s="1" t="s">
        <v>10</v>
      </c>
      <c r="U37" s="1" t="s">
        <v>10</v>
      </c>
      <c r="V37" s="1" t="s">
        <v>15</v>
      </c>
    </row>
    <row r="38" spans="1:22" x14ac:dyDescent="0.25">
      <c r="A38" s="1">
        <v>11</v>
      </c>
      <c r="B38" s="1">
        <v>1</v>
      </c>
      <c r="C38" s="1" t="s">
        <v>10</v>
      </c>
      <c r="D38" s="2">
        <v>44865</v>
      </c>
      <c r="E38" s="1">
        <v>29.909205400000001</v>
      </c>
      <c r="F38" s="1">
        <v>-82.276344399999999</v>
      </c>
      <c r="G38" s="7">
        <v>0.4856999199999999</v>
      </c>
      <c r="H38" s="7">
        <v>0.77711987199999988</v>
      </c>
      <c r="I38" s="7">
        <v>0.15008264414507344</v>
      </c>
      <c r="J38" s="7">
        <v>4.4839671428571426E-2</v>
      </c>
      <c r="K38" s="7">
        <f>J38*M38*10</f>
        <v>6.2775539999999994</v>
      </c>
      <c r="L38" s="7">
        <f>K38/10.764</f>
        <v>0.58319899665551833</v>
      </c>
      <c r="M38" s="1">
        <v>14</v>
      </c>
      <c r="N38" s="7">
        <f>M38*26.3066017753267</f>
        <v>368.29242485457382</v>
      </c>
      <c r="O38" s="5">
        <v>1.6000000000000014</v>
      </c>
      <c r="P38" s="5">
        <v>0.60000000000000497</v>
      </c>
      <c r="Q38" s="1">
        <v>55</v>
      </c>
      <c r="R38" s="1" t="s">
        <v>10</v>
      </c>
      <c r="S38" s="1">
        <v>4.5</v>
      </c>
      <c r="T38" s="1" t="s">
        <v>10</v>
      </c>
      <c r="U38" s="1" t="s">
        <v>10</v>
      </c>
      <c r="V38" s="1" t="s">
        <v>23</v>
      </c>
    </row>
    <row r="39" spans="1:22" x14ac:dyDescent="0.25">
      <c r="A39" s="1">
        <v>11</v>
      </c>
      <c r="B39" s="1">
        <v>2</v>
      </c>
      <c r="C39" s="1" t="s">
        <v>10</v>
      </c>
      <c r="D39" s="2">
        <v>44865</v>
      </c>
      <c r="E39" s="1">
        <v>29.885603400000001</v>
      </c>
      <c r="F39" s="1">
        <v>-82.166946899999999</v>
      </c>
      <c r="G39" s="7">
        <v>2.1146539999999998</v>
      </c>
      <c r="H39" s="7">
        <v>3.3834464</v>
      </c>
      <c r="I39" s="7">
        <v>0.25034742241200292</v>
      </c>
      <c r="J39" s="7">
        <v>0.12212187750000002</v>
      </c>
      <c r="K39" s="7">
        <f>J39*M39*10</f>
        <v>78.158001600000006</v>
      </c>
      <c r="L39" s="7">
        <f>K39/10.764</f>
        <v>7.2610555183946497</v>
      </c>
      <c r="M39" s="1">
        <v>64</v>
      </c>
      <c r="N39" s="7">
        <f>M39*26.3066017753267</f>
        <v>1683.6225136209089</v>
      </c>
      <c r="O39" s="5">
        <v>6.0000000000000142</v>
      </c>
      <c r="P39" s="5">
        <v>2.2000000000000064</v>
      </c>
      <c r="Q39" s="1">
        <v>20.75</v>
      </c>
      <c r="R39" s="1" t="s">
        <v>10</v>
      </c>
      <c r="S39" s="1">
        <v>9.5</v>
      </c>
      <c r="T39" s="1" t="s">
        <v>10</v>
      </c>
      <c r="U39" s="1" t="s">
        <v>10</v>
      </c>
      <c r="V39" s="1" t="s">
        <v>15</v>
      </c>
    </row>
    <row r="40" spans="1:22" x14ac:dyDescent="0.25">
      <c r="A40" s="1">
        <v>11</v>
      </c>
      <c r="B40" s="1">
        <v>3</v>
      </c>
      <c r="C40" s="1" t="s">
        <v>10</v>
      </c>
      <c r="D40" s="2">
        <v>44865</v>
      </c>
      <c r="E40" s="1">
        <v>29.8855331</v>
      </c>
      <c r="F40" s="1">
        <v>-82.168524300000001</v>
      </c>
      <c r="G40" s="7">
        <v>0.33093339999999999</v>
      </c>
      <c r="H40" s="7">
        <v>0.52949343999999998</v>
      </c>
      <c r="I40" s="7">
        <v>0.10957670060548158</v>
      </c>
      <c r="J40" s="7">
        <v>3.8592504E-2</v>
      </c>
      <c r="K40" s="7">
        <f>J40*M40*10</f>
        <v>1.9296252</v>
      </c>
      <c r="L40" s="7">
        <f>K40/10.764</f>
        <v>0.17926655518394649</v>
      </c>
      <c r="M40" s="1">
        <v>5</v>
      </c>
      <c r="N40" s="7">
        <f>M40*26.3066017753267</f>
        <v>131.53300887663352</v>
      </c>
      <c r="O40" s="5">
        <v>2.8000000000000114</v>
      </c>
      <c r="P40" s="5">
        <v>0.80000000000000071</v>
      </c>
      <c r="Q40" s="1">
        <v>76.25</v>
      </c>
      <c r="R40" s="1" t="s">
        <v>10</v>
      </c>
      <c r="S40" s="1">
        <v>3</v>
      </c>
      <c r="T40" s="1" t="s">
        <v>10</v>
      </c>
      <c r="U40" s="1" t="s">
        <v>10</v>
      </c>
      <c r="V40" s="1" t="s">
        <v>23</v>
      </c>
    </row>
    <row r="41" spans="1:22" x14ac:dyDescent="0.25">
      <c r="A41" s="1">
        <v>11</v>
      </c>
      <c r="B41" s="1">
        <v>4</v>
      </c>
      <c r="C41" s="1" t="s">
        <v>10</v>
      </c>
      <c r="D41" s="2">
        <v>44865</v>
      </c>
      <c r="E41" s="1">
        <v>29.879819600000001</v>
      </c>
      <c r="F41" s="1">
        <v>-82.165132999999997</v>
      </c>
      <c r="G41" s="7">
        <v>2.0404076000000004</v>
      </c>
      <c r="H41" s="7">
        <v>3.2646521600000007</v>
      </c>
      <c r="I41" s="7">
        <v>0.13514568353200679</v>
      </c>
      <c r="J41" s="7">
        <v>0.329281614</v>
      </c>
      <c r="K41" s="7">
        <f>J41*M41*10</f>
        <v>98.784484199999994</v>
      </c>
      <c r="L41" s="7">
        <f>K41/10.764</f>
        <v>9.1773025083612048</v>
      </c>
      <c r="M41" s="1">
        <v>30</v>
      </c>
      <c r="N41" s="7">
        <f>M41*26.3066017753267</f>
        <v>789.19805325980099</v>
      </c>
      <c r="O41" s="5">
        <v>5.5999999999999872</v>
      </c>
      <c r="P41" s="5">
        <v>3.2000000000000028</v>
      </c>
      <c r="Q41" s="1">
        <v>6.25</v>
      </c>
      <c r="R41" s="1" t="s">
        <v>10</v>
      </c>
      <c r="S41" s="1">
        <v>12.5</v>
      </c>
      <c r="T41" s="1" t="s">
        <v>10</v>
      </c>
      <c r="U41" s="1" t="s">
        <v>10</v>
      </c>
      <c r="V41" s="1" t="s">
        <v>15</v>
      </c>
    </row>
    <row r="42" spans="1:22" x14ac:dyDescent="0.25">
      <c r="A42" s="1">
        <v>11</v>
      </c>
      <c r="B42" s="1">
        <v>5</v>
      </c>
      <c r="C42" s="1" t="s">
        <v>10</v>
      </c>
      <c r="D42" s="2">
        <v>44865</v>
      </c>
      <c r="E42" s="1">
        <v>29.879574600000002</v>
      </c>
      <c r="F42" s="1">
        <v>-82.154310300000006</v>
      </c>
      <c r="G42" s="7">
        <v>1.1409208000000002</v>
      </c>
      <c r="H42" s="7">
        <v>1.8254732800000004</v>
      </c>
      <c r="I42" s="7">
        <v>9.4242159528878933E-2</v>
      </c>
      <c r="J42" s="7">
        <v>0.55621150615384618</v>
      </c>
      <c r="K42" s="7">
        <f>J42*M42*10</f>
        <v>72.307495799999998</v>
      </c>
      <c r="L42" s="7">
        <f>K42/10.764</f>
        <v>6.7175302675585282</v>
      </c>
      <c r="M42" s="1">
        <v>13</v>
      </c>
      <c r="N42" s="7">
        <f>M42*26.3066017753267</f>
        <v>341.9858230792471</v>
      </c>
      <c r="O42" s="5">
        <v>3.8000000000000074</v>
      </c>
      <c r="P42" s="5">
        <v>0.80000000000000071</v>
      </c>
      <c r="Q42" s="1">
        <v>53.75</v>
      </c>
      <c r="R42" s="1" t="s">
        <v>10</v>
      </c>
      <c r="S42" s="1">
        <v>14.6</v>
      </c>
      <c r="T42" s="1" t="s">
        <v>10</v>
      </c>
      <c r="U42" s="1" t="s">
        <v>10</v>
      </c>
      <c r="V42" s="1" t="s">
        <v>15</v>
      </c>
    </row>
    <row r="43" spans="1:22" x14ac:dyDescent="0.25">
      <c r="A43" s="1">
        <v>11</v>
      </c>
      <c r="B43" s="1">
        <v>6</v>
      </c>
      <c r="C43" s="1" t="s">
        <v>10</v>
      </c>
      <c r="D43" s="2">
        <v>44865</v>
      </c>
      <c r="E43" s="1">
        <v>29.8794374</v>
      </c>
      <c r="F43" s="1">
        <v>-82.153665599999997</v>
      </c>
      <c r="G43" s="7">
        <v>2.2078415999999996</v>
      </c>
      <c r="H43" s="7">
        <v>3.5325465599999997</v>
      </c>
      <c r="I43" s="7">
        <v>0.12585419462881112</v>
      </c>
      <c r="J43" s="7">
        <v>0.1323338182417583</v>
      </c>
      <c r="K43" s="7">
        <f>J43*M43*10</f>
        <v>120.42377460000004</v>
      </c>
      <c r="L43" s="7">
        <f>K43/10.764</f>
        <v>11.187641638795991</v>
      </c>
      <c r="M43" s="1">
        <v>91</v>
      </c>
      <c r="N43" s="7">
        <f>M43*26.3066017753267</f>
        <v>2393.9007615547298</v>
      </c>
      <c r="Q43" s="1">
        <v>15</v>
      </c>
      <c r="R43" s="1" t="s">
        <v>10</v>
      </c>
      <c r="S43" s="1">
        <v>13.5</v>
      </c>
      <c r="T43" s="1">
        <v>10</v>
      </c>
      <c r="U43" s="1" t="s">
        <v>10</v>
      </c>
      <c r="V43" s="1" t="s">
        <v>49</v>
      </c>
    </row>
    <row r="44" spans="1:22" x14ac:dyDescent="0.25">
      <c r="A44" s="1">
        <v>11</v>
      </c>
      <c r="B44" s="1">
        <v>7</v>
      </c>
      <c r="C44" s="1" t="s">
        <v>10</v>
      </c>
      <c r="D44" s="2">
        <v>44865</v>
      </c>
      <c r="E44" s="1">
        <v>29.881744399999999</v>
      </c>
      <c r="F44" s="1">
        <v>-82.164502400000003</v>
      </c>
      <c r="G44" s="7">
        <v>0.21172107999999998</v>
      </c>
      <c r="H44" s="7">
        <v>0.33875372799999998</v>
      </c>
      <c r="I44" s="7">
        <v>7.4136372591326579E-3</v>
      </c>
      <c r="J44" s="7">
        <v>0</v>
      </c>
      <c r="K44" s="7">
        <f>J44*M44*10</f>
        <v>0</v>
      </c>
      <c r="L44" s="7">
        <f>K44/10.764</f>
        <v>0</v>
      </c>
      <c r="M44" s="1">
        <v>0</v>
      </c>
      <c r="N44" s="7">
        <f>M44*26.3066017753267</f>
        <v>0</v>
      </c>
      <c r="O44" s="5">
        <v>2.6000000000000156</v>
      </c>
      <c r="P44" s="5">
        <v>2.0000000000000107</v>
      </c>
      <c r="Q44" s="1">
        <v>36.25</v>
      </c>
      <c r="R44" s="1" t="s">
        <v>10</v>
      </c>
      <c r="S44" s="1" t="s">
        <v>10</v>
      </c>
      <c r="T44" s="1" t="s">
        <v>10</v>
      </c>
      <c r="U44" s="1" t="s">
        <v>10</v>
      </c>
      <c r="V44" s="1" t="s">
        <v>12</v>
      </c>
    </row>
    <row r="45" spans="1:22" x14ac:dyDescent="0.25">
      <c r="A45" s="1">
        <v>12</v>
      </c>
      <c r="B45" s="1">
        <v>1</v>
      </c>
      <c r="C45" s="1">
        <v>15</v>
      </c>
      <c r="D45" s="2">
        <v>44867</v>
      </c>
      <c r="E45" s="1">
        <v>29.895420699999999</v>
      </c>
      <c r="F45" s="1">
        <v>-82.292852400000001</v>
      </c>
      <c r="G45" s="7">
        <v>2.8319095999999995</v>
      </c>
      <c r="H45" s="7">
        <v>4.531055359999999</v>
      </c>
      <c r="I45" s="7">
        <v>0.59479766073206641</v>
      </c>
      <c r="J45" s="7">
        <v>0.20418123272727273</v>
      </c>
      <c r="K45" s="7">
        <f>J45*M45*10</f>
        <v>67.379806799999997</v>
      </c>
      <c r="L45" s="7">
        <f>K45/10.764</f>
        <v>6.2597367892976594</v>
      </c>
      <c r="M45" s="1">
        <v>33</v>
      </c>
      <c r="N45" s="7">
        <f>M45*26.3066017753267</f>
        <v>868.11785858578116</v>
      </c>
      <c r="O45" s="5">
        <v>2.5999999999999979</v>
      </c>
      <c r="P45" s="5">
        <v>0.80000000000000071</v>
      </c>
      <c r="Q45" s="1">
        <v>15</v>
      </c>
      <c r="R45" s="1" t="s">
        <v>10</v>
      </c>
      <c r="S45" s="1">
        <v>8</v>
      </c>
      <c r="T45" s="1" t="s">
        <v>10</v>
      </c>
      <c r="U45" s="1" t="s">
        <v>10</v>
      </c>
      <c r="V45" s="1" t="s">
        <v>15</v>
      </c>
    </row>
    <row r="46" spans="1:22" x14ac:dyDescent="0.25">
      <c r="A46" s="1">
        <v>12</v>
      </c>
      <c r="B46" s="1">
        <v>2</v>
      </c>
      <c r="C46" s="1">
        <v>15</v>
      </c>
      <c r="D46" s="2">
        <v>44867</v>
      </c>
      <c r="E46" s="1">
        <v>29.893540099999999</v>
      </c>
      <c r="F46" s="1">
        <v>-82.290953099999996</v>
      </c>
      <c r="G46" s="7">
        <v>1.9650815999999998</v>
      </c>
      <c r="H46" s="7">
        <v>3.1441305599999998</v>
      </c>
      <c r="I46" s="7">
        <v>0.10996011457493729</v>
      </c>
      <c r="J46" s="7">
        <v>0.32279680799999994</v>
      </c>
      <c r="K46" s="7">
        <f>J46*M46*10</f>
        <v>96.839042399999983</v>
      </c>
      <c r="L46" s="7">
        <f>K46/10.764</f>
        <v>8.9965665551839447</v>
      </c>
      <c r="M46" s="1">
        <v>30</v>
      </c>
      <c r="N46" s="7">
        <f>M46*26.3066017753267</f>
        <v>789.19805325980099</v>
      </c>
      <c r="O46" s="5">
        <v>2.5999999999999979</v>
      </c>
      <c r="P46" s="5">
        <v>0.99999999999999634</v>
      </c>
      <c r="Q46" s="1">
        <v>14.25</v>
      </c>
      <c r="R46" s="1" t="s">
        <v>10</v>
      </c>
      <c r="S46" s="1">
        <v>15</v>
      </c>
      <c r="T46" s="1" t="s">
        <v>10</v>
      </c>
      <c r="U46" s="1" t="s">
        <v>10</v>
      </c>
      <c r="V46" s="1" t="s">
        <v>15</v>
      </c>
    </row>
    <row r="47" spans="1:22" x14ac:dyDescent="0.25">
      <c r="A47" s="1">
        <v>12</v>
      </c>
      <c r="B47" s="1">
        <v>3</v>
      </c>
      <c r="C47" s="1">
        <v>15</v>
      </c>
      <c r="D47" s="2">
        <v>44867</v>
      </c>
      <c r="E47" s="1">
        <v>29.893004399999999</v>
      </c>
      <c r="F47" s="1">
        <v>-82.293948799999995</v>
      </c>
      <c r="G47" s="7">
        <v>1.2816519615384616</v>
      </c>
      <c r="H47" s="7">
        <v>2.0506431384615387</v>
      </c>
      <c r="I47" s="7">
        <v>0.22522625666817192</v>
      </c>
      <c r="J47" s="7">
        <v>0.12234826551724136</v>
      </c>
      <c r="K47" s="7">
        <f>J47*M47*10</f>
        <v>35.480996999999995</v>
      </c>
      <c r="L47" s="7">
        <f>K47/10.764</f>
        <v>3.2962650501672237</v>
      </c>
      <c r="M47" s="1">
        <v>29</v>
      </c>
      <c r="N47" s="7">
        <f>M47*26.3066017753267</f>
        <v>762.89145148447437</v>
      </c>
      <c r="O47" s="5">
        <v>3.0000000000000071</v>
      </c>
      <c r="P47" s="5">
        <v>2.2000000000000064</v>
      </c>
      <c r="Q47" s="1">
        <v>38.75</v>
      </c>
      <c r="R47" s="1" t="s">
        <v>10</v>
      </c>
      <c r="S47" s="1">
        <v>7</v>
      </c>
      <c r="T47" s="1" t="s">
        <v>10</v>
      </c>
      <c r="U47" s="1" t="s">
        <v>10</v>
      </c>
      <c r="V47" s="1" t="s">
        <v>23</v>
      </c>
    </row>
    <row r="48" spans="1:22" x14ac:dyDescent="0.25">
      <c r="A48" s="1">
        <v>12</v>
      </c>
      <c r="B48" s="1">
        <v>4</v>
      </c>
      <c r="C48" s="1">
        <v>15</v>
      </c>
      <c r="D48" s="2">
        <v>44867</v>
      </c>
      <c r="E48" s="1">
        <v>29.8939968</v>
      </c>
      <c r="F48" s="1">
        <v>-82.294273000000004</v>
      </c>
      <c r="G48" s="7">
        <v>1.8883392000000003</v>
      </c>
      <c r="H48" s="7">
        <v>3.0213427200000007</v>
      </c>
      <c r="I48" s="7">
        <v>9.7753957162868818E-2</v>
      </c>
      <c r="J48" s="7">
        <v>0.53153079882352938</v>
      </c>
      <c r="K48" s="7">
        <f>J48*M48*10</f>
        <v>90.360235799999998</v>
      </c>
      <c r="L48" s="7">
        <f>K48/10.764</f>
        <v>8.3946707357859527</v>
      </c>
      <c r="M48" s="1">
        <v>17</v>
      </c>
      <c r="N48" s="7">
        <f>M48*26.3066017753267</f>
        <v>447.21223018055395</v>
      </c>
      <c r="O48" s="5">
        <v>3.0000000000000071</v>
      </c>
      <c r="P48" s="5">
        <v>1.7999999999999972</v>
      </c>
      <c r="Q48" s="1">
        <v>30</v>
      </c>
      <c r="R48" s="1" t="s">
        <v>10</v>
      </c>
      <c r="S48" s="1">
        <v>16.5</v>
      </c>
      <c r="T48" s="1" t="s">
        <v>10</v>
      </c>
      <c r="U48" s="1" t="s">
        <v>10</v>
      </c>
      <c r="V48" s="1" t="s">
        <v>15</v>
      </c>
    </row>
    <row r="49" spans="1:22" x14ac:dyDescent="0.25">
      <c r="A49" s="1">
        <v>12</v>
      </c>
      <c r="B49" s="1">
        <v>5</v>
      </c>
      <c r="C49" s="1">
        <v>15</v>
      </c>
      <c r="D49" s="2">
        <v>44867</v>
      </c>
      <c r="E49" s="1">
        <v>29.893857300000001</v>
      </c>
      <c r="F49" s="1">
        <v>-82.297468499999994</v>
      </c>
      <c r="G49" s="7">
        <v>2.2429456000000001</v>
      </c>
      <c r="H49" s="7">
        <v>3.5887129600000005</v>
      </c>
      <c r="I49" s="7">
        <v>5.0293150965116523E-2</v>
      </c>
      <c r="J49" s="7">
        <v>0.39733147500000005</v>
      </c>
      <c r="K49" s="7">
        <f>J49*M49*10</f>
        <v>143.039331</v>
      </c>
      <c r="L49" s="7">
        <f>K49/10.764</f>
        <v>13.288678093645487</v>
      </c>
      <c r="M49" s="1">
        <v>36</v>
      </c>
      <c r="N49" s="7">
        <f>M49*26.3066017753267</f>
        <v>947.03766391176123</v>
      </c>
      <c r="O49" s="5">
        <v>3.399999999999999</v>
      </c>
      <c r="P49" s="5">
        <v>0.60000000000000497</v>
      </c>
      <c r="Q49" s="1">
        <v>10.25</v>
      </c>
      <c r="R49" s="1" t="s">
        <v>10</v>
      </c>
      <c r="S49" s="1">
        <v>15.4</v>
      </c>
      <c r="T49" s="1" t="s">
        <v>10</v>
      </c>
      <c r="U49" s="1" t="s">
        <v>10</v>
      </c>
      <c r="V49" s="1" t="s">
        <v>15</v>
      </c>
    </row>
    <row r="50" spans="1:22" x14ac:dyDescent="0.25">
      <c r="A50" s="1">
        <v>12</v>
      </c>
      <c r="B50" s="1">
        <v>6</v>
      </c>
      <c r="C50" s="1">
        <v>15</v>
      </c>
      <c r="D50" s="2">
        <v>44867</v>
      </c>
      <c r="E50" s="1">
        <v>29.896792999999999</v>
      </c>
      <c r="F50" s="1">
        <v>-82.297685099999995</v>
      </c>
      <c r="G50" s="7">
        <v>1.798455555555555</v>
      </c>
      <c r="H50" s="7">
        <v>2.8775288888888881</v>
      </c>
      <c r="I50" s="7">
        <v>0.2992912675270531</v>
      </c>
      <c r="J50" s="7">
        <v>0.18524511000000005</v>
      </c>
      <c r="K50" s="7">
        <f>J50*M50*10</f>
        <v>96.327457200000026</v>
      </c>
      <c r="L50" s="7">
        <f>K50/10.764</f>
        <v>8.9490391304347856</v>
      </c>
      <c r="M50" s="1">
        <v>52</v>
      </c>
      <c r="N50" s="7">
        <f>M50*26.3066017753267</f>
        <v>1367.9432923169884</v>
      </c>
      <c r="O50" s="5">
        <v>1.3999999999999879</v>
      </c>
      <c r="P50" s="5">
        <v>0.99999999999999634</v>
      </c>
      <c r="Q50" s="1">
        <v>6</v>
      </c>
      <c r="R50" s="1" t="s">
        <v>10</v>
      </c>
      <c r="S50" s="1">
        <v>13</v>
      </c>
      <c r="T50" s="1">
        <v>6.5</v>
      </c>
      <c r="U50" s="1" t="s">
        <v>10</v>
      </c>
      <c r="V50" s="1" t="s">
        <v>14</v>
      </c>
    </row>
    <row r="51" spans="1:22" x14ac:dyDescent="0.25">
      <c r="A51" s="1">
        <v>12</v>
      </c>
      <c r="B51" s="1">
        <v>7</v>
      </c>
      <c r="C51" s="1">
        <v>15</v>
      </c>
      <c r="D51" s="2">
        <v>44867</v>
      </c>
      <c r="E51" s="1">
        <v>29.895789300000001</v>
      </c>
      <c r="F51" s="1">
        <v>-82.308473599999999</v>
      </c>
      <c r="G51" s="7">
        <v>2.0036232000000003</v>
      </c>
      <c r="H51" s="7">
        <v>3.2057971200000006</v>
      </c>
      <c r="I51" s="7">
        <v>0.19676326970753466</v>
      </c>
      <c r="J51" s="7">
        <v>0.49092363</v>
      </c>
      <c r="K51" s="7">
        <f>J51*M51*10</f>
        <v>117.8216712</v>
      </c>
      <c r="L51" s="7">
        <f>K51/10.764</f>
        <v>10.945900334448162</v>
      </c>
      <c r="M51" s="1">
        <v>24</v>
      </c>
      <c r="N51" s="7">
        <f>M51*26.3066017753267</f>
        <v>631.35844260784086</v>
      </c>
      <c r="O51" s="5">
        <v>3.5999999999999943</v>
      </c>
      <c r="P51" s="5">
        <v>2.2000000000000064</v>
      </c>
      <c r="Q51" s="1">
        <v>1.25</v>
      </c>
      <c r="R51" s="1" t="s">
        <v>10</v>
      </c>
      <c r="S51" s="1">
        <v>15</v>
      </c>
      <c r="T51" s="1">
        <v>8.5</v>
      </c>
      <c r="U51" s="1" t="s">
        <v>10</v>
      </c>
      <c r="V51" s="1" t="s">
        <v>15</v>
      </c>
    </row>
    <row r="52" spans="1:22" x14ac:dyDescent="0.25">
      <c r="A52" s="1">
        <v>12</v>
      </c>
      <c r="B52" s="1">
        <v>8</v>
      </c>
      <c r="C52" s="1">
        <v>15</v>
      </c>
      <c r="D52" s="2">
        <v>44867</v>
      </c>
      <c r="E52" s="1">
        <v>29.8940825</v>
      </c>
      <c r="F52" s="1">
        <v>-82.284486299999998</v>
      </c>
      <c r="G52" s="7">
        <v>0.80977012000000015</v>
      </c>
      <c r="H52" s="7">
        <v>1.2956321920000002</v>
      </c>
      <c r="I52" s="7">
        <v>0.32921547288545372</v>
      </c>
      <c r="J52" s="7">
        <v>6.8891542758620694E-2</v>
      </c>
      <c r="K52" s="7">
        <f>J52*M52*10</f>
        <v>19.978547400000004</v>
      </c>
      <c r="L52" s="7">
        <f>K52/10.764</f>
        <v>1.8560523411371241</v>
      </c>
      <c r="M52" s="1">
        <v>29</v>
      </c>
      <c r="N52" s="7">
        <f>M52*26.3066017753267</f>
        <v>762.89145148447437</v>
      </c>
      <c r="O52" s="5">
        <v>2.8000000000000114</v>
      </c>
      <c r="P52" s="5">
        <v>1.2000000000000099</v>
      </c>
      <c r="Q52" s="1">
        <v>40</v>
      </c>
      <c r="R52" s="1" t="s">
        <v>10</v>
      </c>
      <c r="S52" s="1">
        <v>6</v>
      </c>
      <c r="T52" s="1" t="s">
        <v>10</v>
      </c>
      <c r="U52" s="1" t="s">
        <v>10</v>
      </c>
      <c r="V52" s="1" t="s">
        <v>23</v>
      </c>
    </row>
    <row r="53" spans="1:22" x14ac:dyDescent="0.25">
      <c r="A53" s="1">
        <v>13</v>
      </c>
      <c r="B53" s="1">
        <v>1</v>
      </c>
      <c r="C53" s="1">
        <v>13</v>
      </c>
      <c r="D53" s="2">
        <v>44874</v>
      </c>
      <c r="E53" s="1">
        <v>29.879685299999998</v>
      </c>
      <c r="F53" s="1">
        <v>-82.204101499999993</v>
      </c>
      <c r="G53" s="7">
        <v>1.4992599999999998</v>
      </c>
      <c r="H53" s="7">
        <v>2.3988160000000001</v>
      </c>
      <c r="I53" s="7">
        <v>8.9960537968970966E-2</v>
      </c>
      <c r="J53" s="7">
        <v>0.21903627599999992</v>
      </c>
      <c r="K53" s="7">
        <f>J53*M53*10</f>
        <v>98.566324199999968</v>
      </c>
      <c r="L53" s="7">
        <f>K53/10.764</f>
        <v>9.1570349498327737</v>
      </c>
      <c r="M53" s="1">
        <v>45</v>
      </c>
      <c r="N53" s="7">
        <f>M53*26.3066017753267</f>
        <v>1183.7970798897015</v>
      </c>
      <c r="O53" s="5">
        <v>2.0000000000000107</v>
      </c>
      <c r="P53" s="5">
        <v>0.99999999999999634</v>
      </c>
      <c r="Q53" s="1">
        <v>33.5</v>
      </c>
      <c r="R53" s="1" t="s">
        <v>10</v>
      </c>
      <c r="S53" s="1">
        <v>12</v>
      </c>
      <c r="T53" s="1" t="s">
        <v>10</v>
      </c>
      <c r="U53" s="1" t="s">
        <v>10</v>
      </c>
      <c r="V53" s="1" t="s">
        <v>15</v>
      </c>
    </row>
    <row r="54" spans="1:22" x14ac:dyDescent="0.25">
      <c r="A54" s="1">
        <v>13</v>
      </c>
      <c r="B54" s="1">
        <v>2</v>
      </c>
      <c r="C54" s="1">
        <v>13</v>
      </c>
      <c r="D54" s="2">
        <v>44874</v>
      </c>
      <c r="E54" s="1">
        <v>29.8822866</v>
      </c>
      <c r="F54" s="1">
        <v>-82.203189499999993</v>
      </c>
      <c r="G54" s="7">
        <v>0.73652420833333332</v>
      </c>
      <c r="H54" s="7">
        <v>1.1784387333333333</v>
      </c>
      <c r="I54" s="7">
        <v>0.19478320069893101</v>
      </c>
      <c r="J54" s="7">
        <v>6.9972159512195112E-2</v>
      </c>
      <c r="K54" s="7">
        <f>J54*M54*10</f>
        <v>28.688585399999997</v>
      </c>
      <c r="L54" s="7">
        <f>K54/10.764</f>
        <v>2.6652346153846151</v>
      </c>
      <c r="M54" s="1">
        <v>41</v>
      </c>
      <c r="N54" s="7">
        <f>M54*26.3066017753267</f>
        <v>1078.5706727883949</v>
      </c>
      <c r="O54" s="5">
        <v>2.5999999999999979</v>
      </c>
      <c r="P54" s="5">
        <v>1.2000000000000099</v>
      </c>
      <c r="Q54" s="1">
        <v>31.75</v>
      </c>
      <c r="R54" s="1" t="s">
        <v>10</v>
      </c>
      <c r="S54" s="1">
        <v>6</v>
      </c>
      <c r="T54" s="1" t="s">
        <v>10</v>
      </c>
      <c r="U54" s="1" t="s">
        <v>10</v>
      </c>
      <c r="V54" s="1" t="s">
        <v>23</v>
      </c>
    </row>
    <row r="55" spans="1:22" x14ac:dyDescent="0.25">
      <c r="A55" s="1">
        <v>13</v>
      </c>
      <c r="B55" s="1">
        <v>3</v>
      </c>
      <c r="C55" s="1">
        <v>13</v>
      </c>
      <c r="D55" s="2">
        <v>44874</v>
      </c>
      <c r="E55" s="1">
        <v>29.881434200000001</v>
      </c>
      <c r="F55" s="1">
        <v>-82.1909986</v>
      </c>
      <c r="G55" s="7">
        <v>1.4726435999999998</v>
      </c>
      <c r="H55" s="7">
        <v>2.3562297599999997</v>
      </c>
      <c r="I55" s="7">
        <v>0.15983236582641</v>
      </c>
      <c r="J55" s="7">
        <v>0.43298700000000001</v>
      </c>
      <c r="K55" s="7">
        <f>J55*M55*10</f>
        <v>77.937659999999994</v>
      </c>
      <c r="L55" s="7">
        <f>K55/10.764</f>
        <v>7.240585284280936</v>
      </c>
      <c r="M55" s="1">
        <v>18</v>
      </c>
      <c r="N55" s="7">
        <f>M55*26.3066017753267</f>
        <v>473.51883195588061</v>
      </c>
      <c r="O55" s="5">
        <v>3.5999999999999943</v>
      </c>
      <c r="P55" s="5">
        <v>1.7999999999999972</v>
      </c>
      <c r="Q55" s="1">
        <v>30</v>
      </c>
      <c r="R55" s="1" t="s">
        <v>10</v>
      </c>
      <c r="S55" s="1">
        <v>17</v>
      </c>
      <c r="T55" s="1" t="s">
        <v>10</v>
      </c>
      <c r="U55" s="1">
        <v>4.5</v>
      </c>
      <c r="V55" s="1" t="s">
        <v>15</v>
      </c>
    </row>
    <row r="56" spans="1:22" x14ac:dyDescent="0.25">
      <c r="A56" s="1">
        <v>13</v>
      </c>
      <c r="B56" s="1">
        <v>4</v>
      </c>
      <c r="C56" s="1">
        <v>13</v>
      </c>
      <c r="D56" s="2">
        <v>44874</v>
      </c>
      <c r="E56" s="1">
        <v>29.8781204</v>
      </c>
      <c r="F56" s="1">
        <v>-82.189703399999999</v>
      </c>
      <c r="G56" s="7">
        <v>2.3212316</v>
      </c>
      <c r="H56" s="7">
        <v>3.7139705599999999</v>
      </c>
      <c r="I56" s="7">
        <v>0.32556154785078584</v>
      </c>
      <c r="J56" s="7">
        <v>5.9892601690140816E-2</v>
      </c>
      <c r="K56" s="7">
        <f>J56*M56*10</f>
        <v>42.523747199999981</v>
      </c>
      <c r="L56" s="7">
        <f>K56/10.764</f>
        <v>3.9505525083612025</v>
      </c>
      <c r="M56" s="1">
        <v>71</v>
      </c>
      <c r="N56" s="7">
        <f>M56*26.3066017753267</f>
        <v>1867.7687260481957</v>
      </c>
      <c r="O56" s="5">
        <v>3.5999999999999943</v>
      </c>
      <c r="P56" s="5">
        <v>1.4000000000000057</v>
      </c>
      <c r="Q56" s="1">
        <v>18.75</v>
      </c>
      <c r="R56" s="1" t="s">
        <v>10</v>
      </c>
      <c r="S56" s="1">
        <v>6.5</v>
      </c>
      <c r="T56" s="1" t="s">
        <v>10</v>
      </c>
      <c r="U56" s="1" t="s">
        <v>10</v>
      </c>
      <c r="V56" s="1" t="s">
        <v>23</v>
      </c>
    </row>
    <row r="57" spans="1:22" x14ac:dyDescent="0.25">
      <c r="A57" s="1">
        <v>13</v>
      </c>
      <c r="B57" s="1">
        <v>5</v>
      </c>
      <c r="C57" s="1">
        <v>13</v>
      </c>
      <c r="D57" s="2">
        <v>44874</v>
      </c>
      <c r="E57" s="1">
        <v>29.893654999999999</v>
      </c>
      <c r="F57" s="1">
        <v>-82.194322499999998</v>
      </c>
      <c r="G57" s="7">
        <v>1.0399039166666666</v>
      </c>
      <c r="H57" s="7">
        <v>1.6638462666666667</v>
      </c>
      <c r="I57" s="7">
        <v>0.21758158698029265</v>
      </c>
      <c r="J57" s="7">
        <v>0.3853746818181818</v>
      </c>
      <c r="K57" s="7">
        <f>J57*M57*10</f>
        <v>42.391214999999995</v>
      </c>
      <c r="L57" s="7">
        <f>K57/10.764</f>
        <v>3.9382399665551837</v>
      </c>
      <c r="M57" s="1">
        <v>11</v>
      </c>
      <c r="N57" s="7">
        <f>M57*26.3066017753267</f>
        <v>289.3726195285937</v>
      </c>
      <c r="O57" s="5">
        <v>7.5999999999999988</v>
      </c>
      <c r="P57" s="5">
        <v>0.60000000000000497</v>
      </c>
      <c r="Q57" s="1">
        <v>10</v>
      </c>
      <c r="R57" s="1" t="s">
        <v>10</v>
      </c>
      <c r="S57" s="1">
        <v>13</v>
      </c>
      <c r="T57" s="1" t="s">
        <v>10</v>
      </c>
      <c r="U57" s="1" t="s">
        <v>10</v>
      </c>
      <c r="V57" s="1" t="s">
        <v>15</v>
      </c>
    </row>
    <row r="58" spans="1:22" x14ac:dyDescent="0.25">
      <c r="A58" s="1">
        <v>13</v>
      </c>
      <c r="B58" s="1">
        <v>6</v>
      </c>
      <c r="C58" s="1">
        <v>13</v>
      </c>
      <c r="D58" s="2">
        <v>44874</v>
      </c>
      <c r="E58" s="1">
        <v>29.891068600000001</v>
      </c>
      <c r="F58" s="1">
        <v>-82.191715099999996</v>
      </c>
      <c r="G58" s="7">
        <v>1.3070232000000002</v>
      </c>
      <c r="H58" s="7">
        <v>2.0912371200000002</v>
      </c>
      <c r="I58" s="7">
        <v>0.12631682662786198</v>
      </c>
      <c r="J58" s="7">
        <v>0.37792049294117641</v>
      </c>
      <c r="K58" s="7">
        <f>J58*M58*10</f>
        <v>64.246483799999993</v>
      </c>
      <c r="L58" s="7">
        <f>K58/10.764</f>
        <v>5.9686439799331099</v>
      </c>
      <c r="M58" s="1">
        <v>17</v>
      </c>
      <c r="N58" s="7">
        <f>M58*26.3066017753267</f>
        <v>447.21223018055395</v>
      </c>
      <c r="O58" s="5">
        <v>4.0000000000000036</v>
      </c>
      <c r="P58" s="5">
        <v>1.2000000000000099</v>
      </c>
      <c r="Q58" s="1">
        <v>6.75</v>
      </c>
      <c r="R58" s="1" t="s">
        <v>10</v>
      </c>
      <c r="S58" s="1">
        <v>16.5</v>
      </c>
      <c r="T58" s="1" t="s">
        <v>10</v>
      </c>
      <c r="U58" s="1">
        <v>5</v>
      </c>
      <c r="V58" s="1" t="s">
        <v>15</v>
      </c>
    </row>
    <row r="59" spans="1:22" x14ac:dyDescent="0.25">
      <c r="A59" s="1">
        <v>13</v>
      </c>
      <c r="B59" s="1">
        <v>7</v>
      </c>
      <c r="C59" s="1">
        <v>13</v>
      </c>
      <c r="D59" s="2">
        <v>44874</v>
      </c>
      <c r="E59" s="1">
        <v>29.894626899999999</v>
      </c>
      <c r="F59" s="1">
        <v>-82.183853200000001</v>
      </c>
      <c r="G59" s="7">
        <v>1.6139283999999998</v>
      </c>
      <c r="H59" s="7">
        <v>2.5822854399999997</v>
      </c>
      <c r="I59" s="7">
        <v>0.18939403674790639</v>
      </c>
      <c r="J59" s="7">
        <v>0.11088890999999997</v>
      </c>
      <c r="K59" s="7">
        <f>J59*M59*10</f>
        <v>33.26667299999999</v>
      </c>
      <c r="L59" s="7">
        <f>K59/10.764</f>
        <v>3.090549331103678</v>
      </c>
      <c r="M59" s="1">
        <v>30</v>
      </c>
      <c r="N59" s="7">
        <f>M59*26.3066017753267</f>
        <v>789.19805325980099</v>
      </c>
      <c r="O59" s="5">
        <v>3.0000000000000071</v>
      </c>
      <c r="P59" s="5">
        <v>0.59999999999998721</v>
      </c>
      <c r="Q59" s="1">
        <v>10</v>
      </c>
      <c r="R59" s="1" t="s">
        <v>10</v>
      </c>
      <c r="S59" s="1">
        <v>7.5</v>
      </c>
      <c r="T59" s="1" t="s">
        <v>10</v>
      </c>
      <c r="U59" s="1" t="s">
        <v>10</v>
      </c>
      <c r="V59" s="1" t="s">
        <v>23</v>
      </c>
    </row>
    <row r="60" spans="1:22" x14ac:dyDescent="0.25">
      <c r="A60" s="1">
        <v>14</v>
      </c>
      <c r="B60" s="1">
        <v>1</v>
      </c>
      <c r="C60" s="1">
        <v>14</v>
      </c>
      <c r="D60" s="2">
        <v>44879</v>
      </c>
      <c r="E60" s="1">
        <v>29.939694899999999</v>
      </c>
      <c r="F60" s="1">
        <v>-82.247748400000006</v>
      </c>
      <c r="G60" s="7">
        <v>1.6202192000000002</v>
      </c>
      <c r="H60" s="7">
        <v>2.5923507200000007</v>
      </c>
      <c r="I60" s="7">
        <v>8.3637965607731041E-2</v>
      </c>
      <c r="J60" s="7">
        <v>0.27850613869565216</v>
      </c>
      <c r="K60" s="7">
        <f>J60*M60*10</f>
        <v>128.1128238</v>
      </c>
      <c r="L60" s="7">
        <f>K60/10.764</f>
        <v>11.901971739130435</v>
      </c>
      <c r="M60" s="1">
        <v>46</v>
      </c>
      <c r="N60" s="7">
        <f>M60*26.3066017753267</f>
        <v>1210.1036816650283</v>
      </c>
      <c r="O60" s="5">
        <v>0.40000000000000918</v>
      </c>
      <c r="P60" s="5">
        <v>1.4000000000000057</v>
      </c>
      <c r="Q60" s="1">
        <v>26.25</v>
      </c>
      <c r="R60" s="1" t="s">
        <v>10</v>
      </c>
      <c r="S60" s="1">
        <v>14</v>
      </c>
      <c r="T60" s="1">
        <v>11</v>
      </c>
      <c r="U60" s="1" t="s">
        <v>10</v>
      </c>
      <c r="V60" s="1" t="s">
        <v>15</v>
      </c>
    </row>
    <row r="61" spans="1:22" x14ac:dyDescent="0.25">
      <c r="A61" s="1">
        <v>14</v>
      </c>
      <c r="B61" s="1">
        <v>2</v>
      </c>
      <c r="C61" s="1">
        <v>14</v>
      </c>
      <c r="D61" s="2">
        <v>44879</v>
      </c>
      <c r="E61" s="1">
        <v>29.946238699999999</v>
      </c>
      <c r="F61" s="1">
        <v>-82.245445700000005</v>
      </c>
      <c r="G61" s="7">
        <v>1.2598084666666667</v>
      </c>
      <c r="H61" s="7">
        <v>2.0156935466666668</v>
      </c>
      <c r="I61" s="7">
        <v>0.14992719875251151</v>
      </c>
      <c r="J61" s="7">
        <v>0.39667201714285705</v>
      </c>
      <c r="K61" s="7">
        <f>J61*M61*10</f>
        <v>83.301123599999983</v>
      </c>
      <c r="L61" s="7">
        <f>K61/10.764</f>
        <v>7.7388632107023403</v>
      </c>
      <c r="M61" s="1">
        <v>21</v>
      </c>
      <c r="N61" s="7">
        <f>M61*26.3066017753267</f>
        <v>552.43863728186068</v>
      </c>
      <c r="O61" s="5">
        <v>4.8000000000000043</v>
      </c>
      <c r="P61" s="5">
        <v>0.80000000000000071</v>
      </c>
      <c r="Q61" s="1">
        <v>35.75</v>
      </c>
      <c r="R61" s="1" t="s">
        <v>10</v>
      </c>
      <c r="S61" s="1">
        <v>14.8</v>
      </c>
      <c r="T61" s="1">
        <v>11.5</v>
      </c>
      <c r="U61" s="1" t="s">
        <v>10</v>
      </c>
      <c r="V61" s="1" t="s">
        <v>15</v>
      </c>
    </row>
    <row r="62" spans="1:22" x14ac:dyDescent="0.25">
      <c r="A62" s="1">
        <v>14</v>
      </c>
      <c r="B62" s="1">
        <v>3</v>
      </c>
      <c r="C62" s="1">
        <v>14</v>
      </c>
      <c r="D62" s="2">
        <v>44879</v>
      </c>
      <c r="E62" s="1">
        <v>29.945666899999999</v>
      </c>
      <c r="F62" s="1">
        <v>-82.250336099999998</v>
      </c>
      <c r="G62" s="7">
        <v>1.4030833333333332</v>
      </c>
      <c r="H62" s="7">
        <v>2.2449333333333334</v>
      </c>
      <c r="I62" s="7">
        <v>0.11250732783286586</v>
      </c>
      <c r="J62" s="7">
        <v>0.36330516782608691</v>
      </c>
      <c r="K62" s="7">
        <f>J62*M62*10</f>
        <v>83.560188599999989</v>
      </c>
      <c r="L62" s="7">
        <f>K62/10.764</f>
        <v>7.7629309364548487</v>
      </c>
      <c r="M62" s="1">
        <v>23</v>
      </c>
      <c r="N62" s="7">
        <f>M62*26.3066017753267</f>
        <v>605.05184083251413</v>
      </c>
      <c r="O62" s="5">
        <v>1.9999999999999927</v>
      </c>
      <c r="P62" s="5">
        <v>0.39999999999999153</v>
      </c>
      <c r="Q62" s="1">
        <v>18.25</v>
      </c>
      <c r="R62" s="1" t="s">
        <v>10</v>
      </c>
      <c r="S62" s="1">
        <v>10</v>
      </c>
      <c r="T62" s="1" t="s">
        <v>10</v>
      </c>
      <c r="U62" s="1" t="s">
        <v>10</v>
      </c>
      <c r="V62" s="1" t="s">
        <v>15</v>
      </c>
    </row>
    <row r="63" spans="1:22" x14ac:dyDescent="0.25">
      <c r="A63" s="1">
        <v>14</v>
      </c>
      <c r="B63" s="1">
        <v>4</v>
      </c>
      <c r="C63" s="1">
        <v>14</v>
      </c>
      <c r="D63" s="2">
        <v>44879</v>
      </c>
      <c r="E63" s="1">
        <v>29.946414099999998</v>
      </c>
      <c r="F63" s="1">
        <v>-82.264567200000002</v>
      </c>
      <c r="G63" s="7">
        <v>0.69723743999999999</v>
      </c>
      <c r="H63" s="7">
        <v>1.1155799040000001</v>
      </c>
      <c r="I63" s="7">
        <v>0.20953599696513589</v>
      </c>
      <c r="J63" s="7">
        <v>7.5247747199999979E-2</v>
      </c>
      <c r="K63" s="7">
        <f>J63*M63*10</f>
        <v>37.623873599999989</v>
      </c>
      <c r="L63" s="7">
        <f>K63/10.764</f>
        <v>3.4953431438127081</v>
      </c>
      <c r="M63" s="1">
        <v>50</v>
      </c>
      <c r="N63" s="7">
        <f>M63*26.3066017753267</f>
        <v>1315.3300887663352</v>
      </c>
      <c r="O63" s="5">
        <v>1.6000000000000014</v>
      </c>
      <c r="P63" s="5">
        <v>0.80000000000000071</v>
      </c>
      <c r="Q63" s="1">
        <v>18</v>
      </c>
      <c r="R63" s="1" t="s">
        <v>10</v>
      </c>
      <c r="S63" s="1">
        <v>5</v>
      </c>
      <c r="T63" s="1" t="s">
        <v>10</v>
      </c>
      <c r="U63" s="1" t="s">
        <v>10</v>
      </c>
      <c r="V63" s="1" t="s">
        <v>23</v>
      </c>
    </row>
    <row r="64" spans="1:22" x14ac:dyDescent="0.25">
      <c r="A64" s="1">
        <v>14</v>
      </c>
      <c r="B64" s="1">
        <v>5</v>
      </c>
      <c r="C64" s="1">
        <v>14</v>
      </c>
      <c r="D64" s="2">
        <v>44879</v>
      </c>
      <c r="E64" s="1">
        <v>29.929841499999998</v>
      </c>
      <c r="F64" s="1">
        <v>-82.226466400000007</v>
      </c>
      <c r="G64" s="7">
        <v>1.4101636000000004</v>
      </c>
      <c r="H64" s="7">
        <v>2.2562617600000006</v>
      </c>
      <c r="I64" s="7">
        <v>0.19839169637529042</v>
      </c>
      <c r="J64" s="7">
        <v>0.27714728250000004</v>
      </c>
      <c r="K64" s="7">
        <f>J64*M64*10</f>
        <v>133.0306956</v>
      </c>
      <c r="L64" s="7">
        <f>K64/10.764</f>
        <v>12.358853177257526</v>
      </c>
      <c r="M64" s="1">
        <v>48</v>
      </c>
      <c r="N64" s="7">
        <f>M64*26.3066017753267</f>
        <v>1262.7168852156817</v>
      </c>
      <c r="O64" s="5">
        <v>3.2000000000000028</v>
      </c>
      <c r="P64" s="5">
        <v>0.39999999999999153</v>
      </c>
      <c r="Q64" s="1">
        <v>7.25</v>
      </c>
      <c r="R64" s="1" t="s">
        <v>10</v>
      </c>
      <c r="S64" s="1">
        <v>13</v>
      </c>
      <c r="T64" s="1">
        <v>10.5</v>
      </c>
      <c r="U64" s="1">
        <v>8</v>
      </c>
      <c r="V64" s="1" t="s">
        <v>15</v>
      </c>
    </row>
    <row r="65" spans="1:22" x14ac:dyDescent="0.25">
      <c r="A65" s="1">
        <v>14</v>
      </c>
      <c r="B65" s="1">
        <v>6</v>
      </c>
      <c r="C65" s="1">
        <v>14</v>
      </c>
      <c r="D65" s="2">
        <v>44879</v>
      </c>
      <c r="E65" s="1">
        <v>29.933454900000001</v>
      </c>
      <c r="F65" s="1">
        <v>-82.227876600000002</v>
      </c>
      <c r="G65" s="7">
        <v>1.4065243999999999</v>
      </c>
      <c r="H65" s="7">
        <v>2.2504390399999998</v>
      </c>
      <c r="I65" s="7">
        <v>0.20474751870861249</v>
      </c>
      <c r="J65" s="7">
        <v>0.33882565949999993</v>
      </c>
      <c r="K65" s="7">
        <f>J65*M65*10</f>
        <v>135.53026379999997</v>
      </c>
      <c r="L65" s="7">
        <f>K65/10.764</f>
        <v>12.591068729096989</v>
      </c>
      <c r="M65" s="1">
        <v>40</v>
      </c>
      <c r="N65" s="7">
        <f>M65*26.3066017753267</f>
        <v>1052.2640710130681</v>
      </c>
      <c r="O65" s="5">
        <v>1.6000000000000014</v>
      </c>
      <c r="P65" s="5">
        <v>0.60000000000000497</v>
      </c>
      <c r="Q65" s="1">
        <v>22.125</v>
      </c>
      <c r="R65" s="1" t="s">
        <v>10</v>
      </c>
      <c r="S65" s="1">
        <v>11</v>
      </c>
      <c r="T65" s="1">
        <v>6</v>
      </c>
      <c r="U65" s="1">
        <v>3.5</v>
      </c>
      <c r="V65" s="1" t="s">
        <v>15</v>
      </c>
    </row>
    <row r="66" spans="1:22" x14ac:dyDescent="0.25">
      <c r="A66" s="1">
        <v>14</v>
      </c>
      <c r="B66" s="1">
        <v>7</v>
      </c>
      <c r="C66" s="1">
        <v>14</v>
      </c>
      <c r="D66" s="2">
        <v>44879</v>
      </c>
      <c r="E66" s="1">
        <v>29.9387355</v>
      </c>
      <c r="F66" s="1">
        <v>-82.247164699999999</v>
      </c>
      <c r="G66" s="7">
        <v>0.19091844000000002</v>
      </c>
      <c r="H66" s="7">
        <v>0.30546950400000006</v>
      </c>
      <c r="I66" s="7">
        <v>1.0653314394591006E-2</v>
      </c>
      <c r="J66" s="7">
        <v>0</v>
      </c>
      <c r="K66" s="7">
        <f>J66*M66*10</f>
        <v>0</v>
      </c>
      <c r="L66" s="7">
        <f>K66/10.764</f>
        <v>0</v>
      </c>
      <c r="M66" s="1">
        <v>0</v>
      </c>
      <c r="N66" s="7">
        <f>M66*26.3066017753267</f>
        <v>0</v>
      </c>
      <c r="O66" s="5">
        <v>0.60000000000000497</v>
      </c>
      <c r="P66" s="5">
        <v>0.60000000000000497</v>
      </c>
      <c r="Q66" s="1">
        <v>34.25</v>
      </c>
      <c r="R66" s="1" t="s">
        <v>10</v>
      </c>
      <c r="S66" s="1" t="s">
        <v>10</v>
      </c>
      <c r="T66" s="1" t="s">
        <v>10</v>
      </c>
      <c r="U66" s="1" t="s">
        <v>10</v>
      </c>
      <c r="V66" s="1" t="s">
        <v>12</v>
      </c>
    </row>
    <row r="67" spans="1:22" x14ac:dyDescent="0.25">
      <c r="A67" s="1">
        <v>15</v>
      </c>
      <c r="B67" s="1">
        <v>1</v>
      </c>
      <c r="C67" s="1">
        <v>3</v>
      </c>
      <c r="D67" s="2">
        <v>44881</v>
      </c>
      <c r="E67" s="1">
        <v>29.972252900000001</v>
      </c>
      <c r="F67" s="1">
        <v>-82.1842951</v>
      </c>
      <c r="G67" s="7">
        <v>1.4428468000000001</v>
      </c>
      <c r="H67" s="7">
        <v>2.3085548800000004</v>
      </c>
      <c r="I67" s="7">
        <v>0.29923263763547753</v>
      </c>
      <c r="J67" s="4">
        <v>0.34979047199999996</v>
      </c>
      <c r="K67" s="4">
        <v>10.49371416</v>
      </c>
      <c r="L67" s="7">
        <f>K67/10.764</f>
        <v>0.97488983277591978</v>
      </c>
      <c r="M67" s="1">
        <v>30</v>
      </c>
      <c r="N67" s="7">
        <f>M67*26.3066017753267</f>
        <v>789.19805325980099</v>
      </c>
      <c r="O67" s="5"/>
      <c r="P67" s="5"/>
      <c r="Q67" s="1">
        <v>19.25</v>
      </c>
      <c r="R67" s="1" t="s">
        <v>10</v>
      </c>
      <c r="S67" s="1">
        <v>15.5</v>
      </c>
      <c r="T67" s="1" t="s">
        <v>10</v>
      </c>
      <c r="U67" s="1">
        <v>6</v>
      </c>
      <c r="V67" s="1" t="s">
        <v>15</v>
      </c>
    </row>
    <row r="68" spans="1:22" x14ac:dyDescent="0.25">
      <c r="A68" s="1">
        <v>15</v>
      </c>
      <c r="B68" s="1">
        <v>2</v>
      </c>
      <c r="C68" s="1">
        <v>3</v>
      </c>
      <c r="D68" s="2">
        <v>44881</v>
      </c>
      <c r="E68" s="1">
        <v>29.979282099999999</v>
      </c>
      <c r="F68" s="1">
        <v>-82.188541700000002</v>
      </c>
      <c r="G68" s="7">
        <v>1.3224242307692313</v>
      </c>
      <c r="H68" s="7">
        <v>2.1158787692307701</v>
      </c>
      <c r="I68" s="7">
        <v>7.7002225543242389E-2</v>
      </c>
      <c r="J68" s="7">
        <v>0.63657365684210532</v>
      </c>
      <c r="K68" s="7">
        <v>12.09489948</v>
      </c>
      <c r="L68" s="7">
        <f>K68/10.764</f>
        <v>1.1236435785953178</v>
      </c>
      <c r="M68" s="1">
        <v>19</v>
      </c>
      <c r="N68" s="7">
        <f>M68*26.3066017753267</f>
        <v>499.82543373120734</v>
      </c>
      <c r="O68" s="5">
        <v>1.7999999999999972</v>
      </c>
      <c r="P68" s="5">
        <v>0.60000000000000497</v>
      </c>
      <c r="Q68" s="1">
        <v>35</v>
      </c>
      <c r="R68" s="1" t="s">
        <v>10</v>
      </c>
      <c r="S68" s="1">
        <v>17</v>
      </c>
      <c r="T68" s="1" t="s">
        <v>10</v>
      </c>
      <c r="U68" s="1" t="s">
        <v>10</v>
      </c>
      <c r="V68" s="1" t="s">
        <v>15</v>
      </c>
    </row>
    <row r="69" spans="1:22" x14ac:dyDescent="0.25">
      <c r="A69" s="1">
        <v>15</v>
      </c>
      <c r="B69" s="1">
        <v>3</v>
      </c>
      <c r="C69" s="1">
        <v>3</v>
      </c>
      <c r="D69" s="2">
        <v>44881</v>
      </c>
      <c r="E69" s="1">
        <v>29.980145</v>
      </c>
      <c r="F69" s="1">
        <v>-82.195367599999997</v>
      </c>
      <c r="G69" s="7">
        <v>1.3726152000000003</v>
      </c>
      <c r="H69" s="7">
        <v>2.1961843200000004</v>
      </c>
      <c r="I69" s="7">
        <v>0.10666335174304821</v>
      </c>
      <c r="J69" s="4">
        <v>0.60158438099999989</v>
      </c>
      <c r="K69" s="7">
        <v>12.031687619999998</v>
      </c>
      <c r="L69" s="7">
        <f>K69/10.764</f>
        <v>1.1177710535117056</v>
      </c>
      <c r="M69" s="1">
        <v>20</v>
      </c>
      <c r="N69" s="7">
        <f>M69*26.3066017753267</f>
        <v>526.13203550653407</v>
      </c>
      <c r="O69" s="5">
        <v>3.8000000000000074</v>
      </c>
      <c r="P69" s="5">
        <v>0.40000000000000918</v>
      </c>
      <c r="Q69" s="1">
        <v>13</v>
      </c>
      <c r="R69" s="1" t="s">
        <v>10</v>
      </c>
      <c r="S69" s="1">
        <v>17</v>
      </c>
      <c r="T69" s="1" t="s">
        <v>10</v>
      </c>
      <c r="U69" s="1" t="s">
        <v>10</v>
      </c>
      <c r="V69" s="1" t="s">
        <v>15</v>
      </c>
    </row>
    <row r="70" spans="1:22" x14ac:dyDescent="0.25">
      <c r="A70" s="1">
        <v>15</v>
      </c>
      <c r="B70" s="1">
        <v>4</v>
      </c>
      <c r="C70" s="1">
        <v>3</v>
      </c>
      <c r="D70" s="2">
        <v>44881</v>
      </c>
      <c r="E70" s="1">
        <v>29.973916200000001</v>
      </c>
      <c r="F70" s="1">
        <v>-82.195308199999999</v>
      </c>
      <c r="G70" s="7">
        <v>0.78028543999999977</v>
      </c>
      <c r="H70" s="7">
        <v>1.2484567039999996</v>
      </c>
      <c r="I70" s="7">
        <v>7.4000433534902127E-2</v>
      </c>
      <c r="J70" s="4">
        <v>0.27866940299999998</v>
      </c>
      <c r="K70" s="7">
        <v>5.5733880599999992</v>
      </c>
      <c r="L70" s="7">
        <f>K70/10.764</f>
        <v>0.51778038461538456</v>
      </c>
      <c r="M70" s="1">
        <v>20</v>
      </c>
      <c r="N70" s="7">
        <f>M70*26.3066017753267</f>
        <v>526.13203550653407</v>
      </c>
      <c r="O70" s="5">
        <v>1.9999999999999927</v>
      </c>
      <c r="P70" s="5">
        <v>0.39999999999999153</v>
      </c>
      <c r="Q70" s="1">
        <v>37.5</v>
      </c>
      <c r="R70" s="1" t="s">
        <v>10</v>
      </c>
      <c r="S70" s="1">
        <v>15</v>
      </c>
      <c r="T70" s="1" t="s">
        <v>10</v>
      </c>
      <c r="U70" s="1" t="s">
        <v>10</v>
      </c>
      <c r="V70" s="1" t="s">
        <v>15</v>
      </c>
    </row>
    <row r="71" spans="1:22" x14ac:dyDescent="0.25">
      <c r="A71" s="1">
        <v>16</v>
      </c>
      <c r="B71" s="1">
        <v>1</v>
      </c>
      <c r="C71" s="1">
        <v>3</v>
      </c>
      <c r="D71" s="2">
        <v>44881</v>
      </c>
      <c r="E71" s="6">
        <v>30.006044299999999</v>
      </c>
      <c r="F71" s="6">
        <v>-82.217043500000003</v>
      </c>
      <c r="G71" s="4">
        <v>2.2443220000000004</v>
      </c>
      <c r="H71" s="7">
        <v>3.5909152000000009</v>
      </c>
      <c r="I71" s="4">
        <v>0.19497806714958418</v>
      </c>
      <c r="J71" s="7">
        <v>0.28818198972972975</v>
      </c>
      <c r="K71" s="7">
        <v>10.662733620000001</v>
      </c>
      <c r="L71" s="7">
        <f>K71/10.764</f>
        <v>0.99059212374581951</v>
      </c>
      <c r="M71" s="1">
        <v>37</v>
      </c>
      <c r="N71" s="7">
        <f>M71*26.3066017753267</f>
        <v>973.34426568708795</v>
      </c>
      <c r="O71" s="5">
        <v>1.6000000000000014</v>
      </c>
      <c r="P71" s="5">
        <v>0.60000000000000497</v>
      </c>
      <c r="Q71" s="1">
        <v>4.25</v>
      </c>
      <c r="R71" s="1" t="s">
        <v>10</v>
      </c>
      <c r="S71" s="1">
        <v>11</v>
      </c>
      <c r="T71" s="1">
        <v>6.5</v>
      </c>
      <c r="U71" s="1" t="s">
        <v>10</v>
      </c>
      <c r="V71" s="1" t="s">
        <v>15</v>
      </c>
    </row>
    <row r="72" spans="1:22" x14ac:dyDescent="0.25">
      <c r="A72" s="1">
        <v>16</v>
      </c>
      <c r="B72" s="1">
        <v>2</v>
      </c>
      <c r="C72" s="1">
        <v>3</v>
      </c>
      <c r="D72" s="2">
        <v>44881</v>
      </c>
      <c r="E72" s="6">
        <v>30.0069743</v>
      </c>
      <c r="F72" s="6">
        <v>-82.217088399999994</v>
      </c>
      <c r="G72" s="7">
        <v>1.5423336000000003</v>
      </c>
      <c r="H72" s="7">
        <v>2.4677337600000007</v>
      </c>
      <c r="I72" s="7">
        <v>0.11014837232365722</v>
      </c>
      <c r="J72" s="7">
        <v>0.28850224736842112</v>
      </c>
      <c r="K72" s="7">
        <v>10.963085400000002</v>
      </c>
      <c r="L72" s="7">
        <f>K72/10.764</f>
        <v>1.0184954849498331</v>
      </c>
      <c r="M72" s="1">
        <v>38</v>
      </c>
      <c r="N72" s="7">
        <f>M72*26.3066017753267</f>
        <v>999.65086746241468</v>
      </c>
      <c r="O72" s="5">
        <v>1.6000000000000014</v>
      </c>
      <c r="P72" s="5">
        <v>0.80000000000000071</v>
      </c>
      <c r="Q72" s="1">
        <v>7.5</v>
      </c>
      <c r="R72" s="1">
        <v>15</v>
      </c>
      <c r="S72" s="1">
        <v>12</v>
      </c>
      <c r="T72" s="1" t="s">
        <v>10</v>
      </c>
      <c r="U72" s="1" t="s">
        <v>10</v>
      </c>
      <c r="V72" s="1" t="s">
        <v>15</v>
      </c>
    </row>
    <row r="73" spans="1:22" x14ac:dyDescent="0.25">
      <c r="A73" s="1">
        <v>16</v>
      </c>
      <c r="B73" s="1">
        <v>3</v>
      </c>
      <c r="C73" s="1">
        <v>3</v>
      </c>
      <c r="D73" s="2">
        <v>44881</v>
      </c>
      <c r="E73" s="6">
        <v>30.009011000000001</v>
      </c>
      <c r="F73" s="6">
        <v>-82.217610100000002</v>
      </c>
      <c r="G73" s="7">
        <v>2.0549092000000009</v>
      </c>
      <c r="H73" s="7">
        <v>3.2878547200000017</v>
      </c>
      <c r="I73" s="7">
        <v>0.36922736112512872</v>
      </c>
      <c r="J73" s="7">
        <v>0.10981346896551727</v>
      </c>
      <c r="K73" s="7">
        <v>6.3691812000000017</v>
      </c>
      <c r="L73" s="7">
        <f>K73/10.764</f>
        <v>0.59171137123745843</v>
      </c>
      <c r="M73" s="1">
        <v>58</v>
      </c>
      <c r="N73" s="7">
        <f>M73*26.3066017753267</f>
        <v>1525.7829029689487</v>
      </c>
      <c r="O73" s="5">
        <v>1.4000000000000057</v>
      </c>
      <c r="P73" s="5">
        <v>1.0000000000000142</v>
      </c>
      <c r="Q73" s="1">
        <v>7</v>
      </c>
      <c r="R73" s="1" t="s">
        <v>10</v>
      </c>
      <c r="S73" s="1">
        <v>7</v>
      </c>
      <c r="T73" s="1">
        <v>4</v>
      </c>
      <c r="U73" s="1" t="s">
        <v>10</v>
      </c>
      <c r="V73" s="6" t="s">
        <v>55</v>
      </c>
    </row>
    <row r="74" spans="1:22" x14ac:dyDescent="0.25">
      <c r="A74" s="1">
        <v>16</v>
      </c>
      <c r="B74" s="1">
        <v>4</v>
      </c>
      <c r="C74" s="1">
        <v>3</v>
      </c>
      <c r="D74" s="2">
        <v>44881</v>
      </c>
      <c r="E74" s="6">
        <v>30.010404600000001</v>
      </c>
      <c r="F74" s="6">
        <v>-82.218546500000002</v>
      </c>
      <c r="G74" s="7">
        <v>2.3875140000000004</v>
      </c>
      <c r="H74" s="7">
        <v>3.8200224000000009</v>
      </c>
      <c r="I74" s="7">
        <v>0.18490231499306853</v>
      </c>
      <c r="J74" s="7">
        <v>0.2583675173076922</v>
      </c>
      <c r="K74" s="7">
        <v>13.435110899999994</v>
      </c>
      <c r="L74" s="7">
        <f>K74/10.764</f>
        <v>1.2481522575250832</v>
      </c>
      <c r="M74" s="1">
        <v>52</v>
      </c>
      <c r="N74" s="7">
        <f>M74*26.3066017753267</f>
        <v>1367.9432923169884</v>
      </c>
      <c r="O74" s="5">
        <v>7.4000000000000021</v>
      </c>
      <c r="P74" s="5">
        <v>4.0000000000000036</v>
      </c>
      <c r="Q74" s="1">
        <v>0.75</v>
      </c>
      <c r="R74" s="1">
        <v>15</v>
      </c>
      <c r="S74" s="1">
        <v>12</v>
      </c>
      <c r="T74" s="1" t="s">
        <v>10</v>
      </c>
      <c r="U74" s="1">
        <v>6.5</v>
      </c>
      <c r="V74" s="1" t="s">
        <v>15</v>
      </c>
    </row>
    <row r="75" spans="1:22" x14ac:dyDescent="0.25">
      <c r="A75" s="1">
        <v>16</v>
      </c>
      <c r="B75" s="1">
        <v>5</v>
      </c>
      <c r="C75" s="1">
        <v>3</v>
      </c>
      <c r="D75" s="2">
        <v>44881</v>
      </c>
      <c r="E75" s="6">
        <v>30.004466000000001</v>
      </c>
      <c r="F75" s="6">
        <v>-82.220866000000001</v>
      </c>
      <c r="G75" s="7">
        <v>0.64470626923076935</v>
      </c>
      <c r="H75" s="7">
        <v>1.031530030769231</v>
      </c>
      <c r="I75" s="7">
        <v>0.11992409511136058</v>
      </c>
      <c r="J75" s="7">
        <v>0.44110588499999998</v>
      </c>
      <c r="K75" s="7">
        <v>5.2932706199999995</v>
      </c>
      <c r="L75" s="7">
        <f>K75/10.764</f>
        <v>0.49175683946488291</v>
      </c>
      <c r="M75" s="1">
        <v>12</v>
      </c>
      <c r="N75" s="7">
        <f>M75*26.3066017753267</f>
        <v>315.67922130392043</v>
      </c>
      <c r="O75" s="5">
        <v>8.6000000000000121</v>
      </c>
      <c r="P75" s="5">
        <v>2.2000000000000064</v>
      </c>
      <c r="Q75" s="1">
        <v>23.75</v>
      </c>
      <c r="R75" s="1" t="s">
        <v>10</v>
      </c>
      <c r="S75" s="1">
        <v>12.5</v>
      </c>
      <c r="T75" s="1">
        <v>8.4</v>
      </c>
      <c r="U75" s="1">
        <v>5.3</v>
      </c>
      <c r="V75" s="1" t="s">
        <v>15</v>
      </c>
    </row>
    <row r="76" spans="1:22" x14ac:dyDescent="0.25">
      <c r="A76" s="1">
        <v>17</v>
      </c>
      <c r="B76" s="1">
        <v>1</v>
      </c>
      <c r="C76" s="1" t="s">
        <v>10</v>
      </c>
      <c r="D76" s="2">
        <v>44886</v>
      </c>
      <c r="E76" s="1">
        <v>29.9071271</v>
      </c>
      <c r="F76" s="1">
        <v>-82.2136663</v>
      </c>
      <c r="G76" s="7">
        <v>1.5389526923076924</v>
      </c>
      <c r="H76" s="7">
        <v>2.4623243076923078</v>
      </c>
      <c r="I76" s="7">
        <v>0.21268421300242615</v>
      </c>
      <c r="J76" s="7">
        <v>0.40252337999999988</v>
      </c>
      <c r="K76" s="7">
        <v>12.075701399999996</v>
      </c>
      <c r="L76" s="7">
        <f>K76/10.764</f>
        <v>1.1218600334448157</v>
      </c>
      <c r="M76" s="1">
        <v>30</v>
      </c>
      <c r="N76" s="7">
        <f>M76*26.3066017753267</f>
        <v>789.19805325980099</v>
      </c>
      <c r="O76" s="5">
        <v>5.3999999999999915</v>
      </c>
      <c r="P76" s="5">
        <v>0</v>
      </c>
      <c r="Q76" s="1">
        <v>28.75</v>
      </c>
      <c r="R76" s="1" t="s">
        <v>10</v>
      </c>
      <c r="S76" s="1">
        <v>15</v>
      </c>
      <c r="T76" s="1">
        <v>12</v>
      </c>
      <c r="U76" s="1">
        <v>6.5</v>
      </c>
      <c r="V76" s="1" t="s">
        <v>15</v>
      </c>
    </row>
    <row r="77" spans="1:22" x14ac:dyDescent="0.25">
      <c r="A77" s="1">
        <v>17</v>
      </c>
      <c r="B77" s="1">
        <v>2</v>
      </c>
      <c r="C77" s="1" t="s">
        <v>10</v>
      </c>
      <c r="D77" s="2">
        <v>44886</v>
      </c>
      <c r="E77" s="1">
        <v>29.9007389</v>
      </c>
      <c r="F77" s="1">
        <v>-82.212619900000007</v>
      </c>
      <c r="G77" s="7">
        <v>1.6549880000000001</v>
      </c>
      <c r="H77" s="7">
        <v>2.6479808000000005</v>
      </c>
      <c r="I77" s="7">
        <v>0.10946453588567699</v>
      </c>
      <c r="J77" s="7">
        <v>0.33560000307692311</v>
      </c>
      <c r="K77" s="7">
        <v>13.088400120000001</v>
      </c>
      <c r="L77" s="7">
        <f>K77/10.764</f>
        <v>1.2159420401337795</v>
      </c>
      <c r="M77" s="1">
        <v>39</v>
      </c>
      <c r="N77" s="7">
        <f>M77*26.3066017753267</f>
        <v>1025.9574692377414</v>
      </c>
      <c r="O77" s="5">
        <v>5.4000000000000092</v>
      </c>
      <c r="P77" s="5">
        <v>0.60000000000000497</v>
      </c>
      <c r="Q77" s="1">
        <v>12.25</v>
      </c>
      <c r="R77" s="1" t="s">
        <v>10</v>
      </c>
      <c r="S77" s="1">
        <v>14</v>
      </c>
      <c r="T77" s="1">
        <v>11</v>
      </c>
      <c r="U77" s="1" t="s">
        <v>10</v>
      </c>
      <c r="V77" s="1" t="s">
        <v>15</v>
      </c>
    </row>
    <row r="78" spans="1:22" x14ac:dyDescent="0.25">
      <c r="A78" s="1">
        <v>17</v>
      </c>
      <c r="B78" s="1">
        <v>3</v>
      </c>
      <c r="C78" s="1" t="s">
        <v>10</v>
      </c>
      <c r="D78" s="2">
        <v>44886</v>
      </c>
      <c r="E78" s="1">
        <v>29.892546299999999</v>
      </c>
      <c r="F78" s="1">
        <v>-82.210948799999997</v>
      </c>
      <c r="G78" s="7">
        <v>1.578074</v>
      </c>
      <c r="H78" s="7">
        <v>2.5249184000000002</v>
      </c>
      <c r="I78" s="7">
        <v>5.1623199161488109E-2</v>
      </c>
      <c r="J78" s="7">
        <v>0.26144027265306119</v>
      </c>
      <c r="K78" s="7">
        <v>12.810573359999999</v>
      </c>
      <c r="L78" s="7">
        <f>K78/10.764</f>
        <v>1.1901313043478261</v>
      </c>
      <c r="M78" s="1">
        <v>49</v>
      </c>
      <c r="N78" s="7">
        <f>M78*26.3066017753267</f>
        <v>1289.0234869910084</v>
      </c>
      <c r="O78" s="5">
        <v>2.2000000000000064</v>
      </c>
      <c r="P78" s="5">
        <v>0.39999999999999153</v>
      </c>
      <c r="Q78" s="1">
        <v>1.75</v>
      </c>
      <c r="R78" s="1" t="s">
        <v>10</v>
      </c>
      <c r="S78" s="1">
        <v>16.5</v>
      </c>
      <c r="T78" s="1" t="s">
        <v>10</v>
      </c>
      <c r="U78" s="1" t="s">
        <v>10</v>
      </c>
      <c r="V78" s="1" t="s">
        <v>15</v>
      </c>
    </row>
    <row r="79" spans="1:22" x14ac:dyDescent="0.25">
      <c r="A79" s="1">
        <v>17</v>
      </c>
      <c r="B79" s="1">
        <v>4</v>
      </c>
      <c r="C79" s="1" t="s">
        <v>10</v>
      </c>
      <c r="D79" s="2">
        <v>44886</v>
      </c>
      <c r="E79" s="1">
        <v>30.010404600000001</v>
      </c>
      <c r="F79" s="1">
        <v>-82.218546500000002</v>
      </c>
      <c r="G79" s="7">
        <v>2.3892984000000004</v>
      </c>
      <c r="H79" s="7">
        <v>3.822877440000001</v>
      </c>
      <c r="I79" s="7">
        <v>0.27800495206440035</v>
      </c>
      <c r="J79" s="7">
        <v>0.29469270960000005</v>
      </c>
      <c r="K79" s="7">
        <v>14.734635480000001</v>
      </c>
      <c r="L79" s="7">
        <f>K79/10.764</f>
        <v>1.3688810367892978</v>
      </c>
      <c r="M79" s="1">
        <v>50</v>
      </c>
      <c r="N79" s="7">
        <f>M79*26.3066017753267</f>
        <v>1315.3300887663352</v>
      </c>
      <c r="O79" s="5">
        <v>1.1999999999999922</v>
      </c>
      <c r="P79" s="5">
        <v>0.39999999999999153</v>
      </c>
      <c r="Q79" s="1">
        <v>1.25</v>
      </c>
      <c r="R79" s="1" t="s">
        <v>10</v>
      </c>
      <c r="S79" s="1">
        <v>12.5</v>
      </c>
      <c r="T79" s="1">
        <v>7.5</v>
      </c>
      <c r="U79" s="1" t="s">
        <v>10</v>
      </c>
      <c r="V79" s="1" t="s">
        <v>15</v>
      </c>
    </row>
    <row r="80" spans="1:22" x14ac:dyDescent="0.25">
      <c r="A80" s="1">
        <v>17</v>
      </c>
      <c r="B80" s="1">
        <v>5</v>
      </c>
      <c r="C80" s="1" t="s">
        <v>10</v>
      </c>
      <c r="D80" s="2">
        <v>44886</v>
      </c>
      <c r="E80" s="1">
        <v>29.912433799999999</v>
      </c>
      <c r="F80" s="1">
        <v>-82.213775900000002</v>
      </c>
      <c r="G80" s="7">
        <v>0.85397728000000017</v>
      </c>
      <c r="H80" s="7">
        <v>1.3663636480000003</v>
      </c>
      <c r="I80" s="7">
        <v>4.6430656757793114E-2</v>
      </c>
      <c r="J80" s="7">
        <v>0.30404864347826088</v>
      </c>
      <c r="K80" s="7">
        <v>6.9931188000000004</v>
      </c>
      <c r="L80" s="7">
        <f>K80/10.764</f>
        <v>0.64967658862876265</v>
      </c>
      <c r="M80" s="1">
        <v>23</v>
      </c>
      <c r="N80" s="7">
        <f>M80*26.3066017753267</f>
        <v>605.05184083251413</v>
      </c>
      <c r="O80" s="5">
        <v>1.1999999999999922</v>
      </c>
      <c r="P80" s="5">
        <v>0.60000000000000497</v>
      </c>
      <c r="Q80" s="1">
        <v>22.5</v>
      </c>
      <c r="R80" s="1" t="s">
        <v>10</v>
      </c>
      <c r="S80" s="1">
        <v>13</v>
      </c>
      <c r="T80" s="1" t="s">
        <v>10</v>
      </c>
      <c r="U80" s="1">
        <v>4</v>
      </c>
      <c r="V80" s="1" t="s">
        <v>15</v>
      </c>
    </row>
    <row r="81" spans="1:22" x14ac:dyDescent="0.25">
      <c r="A81" s="1">
        <v>17</v>
      </c>
      <c r="B81" s="1">
        <v>6</v>
      </c>
      <c r="C81" s="1" t="s">
        <v>10</v>
      </c>
      <c r="D81" s="2">
        <v>44886</v>
      </c>
      <c r="E81" s="1">
        <v>29.8969284</v>
      </c>
      <c r="F81" s="1">
        <v>-82.219860100000005</v>
      </c>
      <c r="G81" s="7">
        <v>1.0458512799999999</v>
      </c>
      <c r="H81" s="7">
        <v>1.673362048</v>
      </c>
      <c r="I81" s="7">
        <v>0.12545174471668427</v>
      </c>
      <c r="J81" s="7">
        <v>0.44280246857142852</v>
      </c>
      <c r="K81" s="7">
        <v>9.2988518399999993</v>
      </c>
      <c r="L81" s="7">
        <f>K81/10.764</f>
        <v>0.86388441471571908</v>
      </c>
      <c r="M81" s="1">
        <v>21</v>
      </c>
      <c r="N81" s="7">
        <f>M81*26.3066017753267</f>
        <v>552.43863728186068</v>
      </c>
      <c r="O81" s="5">
        <v>4.399999999999995</v>
      </c>
      <c r="P81" s="5">
        <v>0.40000000000000918</v>
      </c>
      <c r="Q81" s="1">
        <v>21.75</v>
      </c>
      <c r="R81" s="1">
        <v>15.5</v>
      </c>
      <c r="S81" s="1">
        <v>13</v>
      </c>
      <c r="T81" s="1">
        <v>11</v>
      </c>
      <c r="U81" s="1">
        <v>3</v>
      </c>
      <c r="V81" s="1" t="s">
        <v>15</v>
      </c>
    </row>
    <row r="82" spans="1:22" x14ac:dyDescent="0.25">
      <c r="A82" s="1">
        <v>17</v>
      </c>
      <c r="B82" s="1">
        <v>7</v>
      </c>
      <c r="C82" s="1" t="s">
        <v>10</v>
      </c>
      <c r="D82" s="2">
        <v>44886</v>
      </c>
      <c r="E82" s="1">
        <v>29.906949999999998</v>
      </c>
      <c r="F82" s="1">
        <v>-82.212199999999996</v>
      </c>
      <c r="G82" s="7">
        <v>0.18081059999999993</v>
      </c>
      <c r="H82" s="7">
        <v>0.28929695999999988</v>
      </c>
      <c r="I82" s="7">
        <v>3.4197183119861396E-3</v>
      </c>
      <c r="J82" s="7">
        <v>0</v>
      </c>
      <c r="K82" s="7">
        <v>0</v>
      </c>
      <c r="L82" s="7">
        <f>K82/10.764</f>
        <v>0</v>
      </c>
      <c r="M82" s="1">
        <v>0</v>
      </c>
      <c r="N82" s="7">
        <f>M82*26.3066017753267</f>
        <v>0</v>
      </c>
      <c r="O82" s="5">
        <v>1.7999999999999972</v>
      </c>
      <c r="P82" s="5">
        <v>1.2000000000000099</v>
      </c>
      <c r="Q82" s="1">
        <v>16.75</v>
      </c>
      <c r="R82" s="1" t="s">
        <v>10</v>
      </c>
      <c r="S82" s="1" t="s">
        <v>10</v>
      </c>
      <c r="T82" s="1" t="s">
        <v>10</v>
      </c>
      <c r="U82" s="1" t="s">
        <v>10</v>
      </c>
      <c r="V82" s="1" t="s">
        <v>12</v>
      </c>
    </row>
    <row r="83" spans="1:22" x14ac:dyDescent="0.25">
      <c r="A83" s="1">
        <v>18</v>
      </c>
      <c r="B83" s="1">
        <v>1</v>
      </c>
      <c r="C83" s="1" t="s">
        <v>10</v>
      </c>
      <c r="D83" s="2">
        <v>44888</v>
      </c>
      <c r="E83" s="1">
        <v>29.8728078</v>
      </c>
      <c r="F83" s="1">
        <v>-82.243042500000001</v>
      </c>
      <c r="G83" s="7">
        <v>1.1799868</v>
      </c>
      <c r="H83" s="7">
        <v>1.8879788800000001</v>
      </c>
      <c r="I83" s="7">
        <v>6.8707454272929278E-2</v>
      </c>
      <c r="J83" s="7">
        <v>0.29930293384615375</v>
      </c>
      <c r="K83" s="7">
        <v>11.672814419999996</v>
      </c>
      <c r="L83" s="7">
        <f>K83/10.764</f>
        <v>1.0844309197324411</v>
      </c>
      <c r="M83" s="1">
        <v>39</v>
      </c>
      <c r="N83" s="7">
        <f>M83*26.3066017753267</f>
        <v>1025.9574692377414</v>
      </c>
      <c r="O83" s="5">
        <v>2.7999999999999936</v>
      </c>
      <c r="P83" s="5">
        <v>1.6000000000000014</v>
      </c>
      <c r="Q83" s="1">
        <v>2</v>
      </c>
      <c r="R83" s="1" t="s">
        <v>10</v>
      </c>
      <c r="S83" s="1">
        <v>12.5</v>
      </c>
      <c r="T83" s="1">
        <v>10.5</v>
      </c>
      <c r="U83" s="1">
        <v>8</v>
      </c>
      <c r="V83" s="1" t="s">
        <v>15</v>
      </c>
    </row>
    <row r="84" spans="1:22" x14ac:dyDescent="0.25">
      <c r="A84" s="1">
        <v>18</v>
      </c>
      <c r="B84" s="1">
        <v>2</v>
      </c>
      <c r="C84" s="1" t="s">
        <v>10</v>
      </c>
      <c r="D84" s="2">
        <v>44888</v>
      </c>
      <c r="E84" s="1">
        <v>29.868511900000001</v>
      </c>
      <c r="F84" s="1">
        <v>-82.245273100000006</v>
      </c>
      <c r="G84" s="7">
        <v>1.4016060000000004</v>
      </c>
      <c r="H84" s="7">
        <v>2.2425696000000008</v>
      </c>
      <c r="I84" s="7">
        <v>0.22363278249919527</v>
      </c>
      <c r="J84" s="7">
        <v>0.26913715152289969</v>
      </c>
      <c r="K84" s="7">
        <v>12.918583273099186</v>
      </c>
      <c r="L84" s="7">
        <f>K84/10.764</f>
        <v>1.2001656701132652</v>
      </c>
      <c r="M84" s="1">
        <v>48</v>
      </c>
      <c r="N84" s="7">
        <f>M84*26.3066017753267</f>
        <v>1262.7168852156817</v>
      </c>
      <c r="O84" s="5">
        <v>3.7999999999999901</v>
      </c>
      <c r="P84" s="5">
        <v>1.4000000000000057</v>
      </c>
      <c r="Q84" s="1">
        <v>19.25</v>
      </c>
      <c r="R84" s="1" t="s">
        <v>10</v>
      </c>
      <c r="S84" s="1">
        <v>12.5</v>
      </c>
      <c r="T84" s="1">
        <v>8.5</v>
      </c>
      <c r="U84" s="1">
        <v>4</v>
      </c>
      <c r="V84" s="1" t="s">
        <v>15</v>
      </c>
    </row>
    <row r="85" spans="1:22" x14ac:dyDescent="0.25">
      <c r="A85" s="1">
        <v>18</v>
      </c>
      <c r="B85" s="1">
        <v>3</v>
      </c>
      <c r="C85" s="1" t="s">
        <v>10</v>
      </c>
      <c r="D85" s="2">
        <v>44888</v>
      </c>
      <c r="E85" s="1">
        <v>29.871393399999999</v>
      </c>
      <c r="F85" s="1">
        <v>-82.248271099999997</v>
      </c>
      <c r="G85" s="7">
        <v>1.8774284000000003</v>
      </c>
      <c r="H85" s="7">
        <v>3.0038854400000008</v>
      </c>
      <c r="I85" s="7">
        <v>7.7631558911308726E-2</v>
      </c>
      <c r="J85" s="7">
        <v>0.26610065999999999</v>
      </c>
      <c r="K85" s="7">
        <v>14.10333498</v>
      </c>
      <c r="L85" s="7">
        <f>K85/10.764</f>
        <v>1.3102317892976589</v>
      </c>
      <c r="M85" s="1">
        <v>53</v>
      </c>
      <c r="N85" s="7">
        <f>M85*26.3066017753267</f>
        <v>1394.2498940923151</v>
      </c>
      <c r="O85" s="5">
        <v>5</v>
      </c>
      <c r="P85" s="5">
        <v>2.4000000000000021</v>
      </c>
      <c r="Q85" s="1">
        <v>0</v>
      </c>
      <c r="R85" s="1" t="s">
        <v>10</v>
      </c>
      <c r="S85" s="1">
        <v>11.5</v>
      </c>
      <c r="T85" s="1" t="s">
        <v>10</v>
      </c>
      <c r="U85" s="1" t="s">
        <v>10</v>
      </c>
      <c r="V85" s="1" t="s">
        <v>15</v>
      </c>
    </row>
    <row r="86" spans="1:22" x14ac:dyDescent="0.25">
      <c r="A86" s="1">
        <v>18</v>
      </c>
      <c r="B86" s="1">
        <v>4</v>
      </c>
      <c r="C86" s="1">
        <v>5</v>
      </c>
      <c r="D86" s="2">
        <v>44888</v>
      </c>
      <c r="E86" s="1">
        <v>29.885071700000001</v>
      </c>
      <c r="F86" s="1">
        <v>-82.255159000000006</v>
      </c>
      <c r="G86" s="7">
        <v>1.2073315199999999</v>
      </c>
      <c r="H86" s="7">
        <v>1.9317304319999999</v>
      </c>
      <c r="I86" s="7">
        <v>0.13894514410164358</v>
      </c>
      <c r="J86" s="7">
        <v>0.35357675999999993</v>
      </c>
      <c r="K86" s="7">
        <v>6.3643816799999984</v>
      </c>
      <c r="L86" s="7">
        <f>K86/10.764</f>
        <v>0.59126548494983266</v>
      </c>
      <c r="M86" s="1">
        <v>18</v>
      </c>
      <c r="N86" s="7">
        <f>M86*26.3066017753267</f>
        <v>473.51883195588061</v>
      </c>
      <c r="O86" s="5">
        <v>4.4000000000000128</v>
      </c>
      <c r="P86" s="5">
        <v>2.4000000000000021</v>
      </c>
      <c r="Q86" s="1">
        <v>8.25</v>
      </c>
      <c r="R86" s="1" t="s">
        <v>10</v>
      </c>
      <c r="S86" s="1">
        <v>14.5</v>
      </c>
      <c r="T86" s="1" t="s">
        <v>10</v>
      </c>
      <c r="U86" s="1" t="s">
        <v>10</v>
      </c>
      <c r="V86" s="1" t="s">
        <v>15</v>
      </c>
    </row>
    <row r="87" spans="1:22" x14ac:dyDescent="0.25">
      <c r="A87" s="1">
        <v>18</v>
      </c>
      <c r="B87" s="1">
        <v>5</v>
      </c>
      <c r="C87" s="1">
        <v>5</v>
      </c>
      <c r="D87" s="2">
        <v>44888</v>
      </c>
      <c r="E87" s="1">
        <v>29.883896700000001</v>
      </c>
      <c r="F87" s="1">
        <v>-82.258513100000002</v>
      </c>
      <c r="G87" s="7">
        <v>0.67506648000000002</v>
      </c>
      <c r="H87" s="7">
        <v>1.080106368</v>
      </c>
      <c r="I87" s="7">
        <v>0.11199494934040552</v>
      </c>
      <c r="J87" s="7">
        <v>7.214198294117645E-2</v>
      </c>
      <c r="K87" s="7">
        <v>4.9056548399999986</v>
      </c>
      <c r="L87" s="7">
        <f>K87/10.764</f>
        <v>0.45574645484949822</v>
      </c>
      <c r="M87" s="1">
        <v>68</v>
      </c>
      <c r="N87" s="7">
        <f>M87*26.3066017753267</f>
        <v>1788.8489207222158</v>
      </c>
      <c r="O87" s="5">
        <v>6.4000000000000057</v>
      </c>
      <c r="P87" s="5">
        <v>5</v>
      </c>
      <c r="Q87" s="1">
        <v>33.75</v>
      </c>
      <c r="R87" s="1" t="s">
        <v>10</v>
      </c>
      <c r="S87" s="1">
        <v>4</v>
      </c>
      <c r="T87" s="1" t="s">
        <v>10</v>
      </c>
      <c r="U87" s="1" t="s">
        <v>10</v>
      </c>
      <c r="V87" s="1" t="s">
        <v>23</v>
      </c>
    </row>
    <row r="88" spans="1:22" x14ac:dyDescent="0.25">
      <c r="A88" s="1">
        <v>18</v>
      </c>
      <c r="B88" s="1">
        <v>6</v>
      </c>
      <c r="C88" s="1" t="s">
        <v>10</v>
      </c>
      <c r="D88" s="2">
        <v>44888</v>
      </c>
      <c r="E88" s="1">
        <v>29.8931608</v>
      </c>
      <c r="F88" s="1">
        <v>-82.232255300000006</v>
      </c>
      <c r="G88" s="7">
        <v>0.96375346153846142</v>
      </c>
      <c r="H88" s="7">
        <v>1.5420055384615383</v>
      </c>
      <c r="I88" s="7">
        <v>0.14155151412548878</v>
      </c>
      <c r="J88" s="7">
        <v>0.37382988599999994</v>
      </c>
      <c r="K88" s="7">
        <v>11.214896579999998</v>
      </c>
      <c r="L88" s="7">
        <f>K88/10.764</f>
        <v>1.0418893143812709</v>
      </c>
      <c r="M88" s="1">
        <v>30</v>
      </c>
      <c r="N88" s="7">
        <f>M88*26.3066017753267</f>
        <v>789.19805325980099</v>
      </c>
      <c r="O88" s="5">
        <v>1.9999999999999927</v>
      </c>
      <c r="P88" s="5">
        <v>1.6000000000000014</v>
      </c>
      <c r="Q88" s="1">
        <v>32.5</v>
      </c>
      <c r="R88" s="1">
        <v>16</v>
      </c>
      <c r="S88" s="1">
        <v>13.5</v>
      </c>
      <c r="T88" s="1">
        <v>11</v>
      </c>
      <c r="U88" s="1" t="s">
        <v>10</v>
      </c>
      <c r="V88" s="1" t="s">
        <v>15</v>
      </c>
    </row>
    <row r="89" spans="1:22" x14ac:dyDescent="0.25">
      <c r="A89" s="1">
        <v>18</v>
      </c>
      <c r="B89" s="1">
        <v>7</v>
      </c>
      <c r="C89" s="1" t="s">
        <v>10</v>
      </c>
      <c r="D89" s="2">
        <v>44888</v>
      </c>
      <c r="E89" s="1">
        <v>29.884008699999999</v>
      </c>
      <c r="F89" s="1">
        <v>-82.238502499999996</v>
      </c>
      <c r="G89" s="7">
        <v>1.3161100000000001</v>
      </c>
      <c r="H89" s="7">
        <v>2.1057760000000001</v>
      </c>
      <c r="I89" s="7">
        <v>4.9222046974230292E-2</v>
      </c>
      <c r="J89" s="7">
        <v>0.37729992857142847</v>
      </c>
      <c r="K89" s="7">
        <v>13.205497499999996</v>
      </c>
      <c r="L89" s="7">
        <f>K89/10.764</f>
        <v>1.2268206521739127</v>
      </c>
      <c r="M89" s="1">
        <v>35</v>
      </c>
      <c r="N89" s="7">
        <f>M89*26.3066017753267</f>
        <v>920.7310621364345</v>
      </c>
      <c r="O89" s="5">
        <v>6.799999999999998</v>
      </c>
      <c r="P89" s="5">
        <v>2.9999999999999893</v>
      </c>
      <c r="Q89" s="1">
        <v>16.25</v>
      </c>
      <c r="R89" s="1" t="s">
        <v>10</v>
      </c>
      <c r="S89" s="1">
        <v>15</v>
      </c>
      <c r="T89" s="1">
        <v>12.5</v>
      </c>
      <c r="U89" s="1">
        <v>11</v>
      </c>
      <c r="V89" s="1" t="s">
        <v>15</v>
      </c>
    </row>
    <row r="90" spans="1:22" x14ac:dyDescent="0.25">
      <c r="A90" s="1">
        <v>19</v>
      </c>
      <c r="B90" s="1">
        <v>1</v>
      </c>
      <c r="C90" s="1" t="s">
        <v>20</v>
      </c>
      <c r="D90" s="2">
        <v>44895</v>
      </c>
      <c r="E90" s="1">
        <v>29.953819899999999</v>
      </c>
      <c r="F90" s="1">
        <v>-82.222425700000002</v>
      </c>
      <c r="G90" s="7">
        <v>1.6536840000000002</v>
      </c>
      <c r="H90" s="7">
        <v>2.6458944000000004</v>
      </c>
      <c r="I90" s="7">
        <v>0.1513359103396591</v>
      </c>
      <c r="J90" s="7">
        <v>0.25940540482758623</v>
      </c>
      <c r="K90" s="7">
        <v>15.045513480000002</v>
      </c>
      <c r="L90" s="7">
        <f>K90/10.764</f>
        <v>1.397762307692308</v>
      </c>
      <c r="M90" s="1">
        <v>58</v>
      </c>
      <c r="N90" s="7">
        <f>M90*26.3066017753267</f>
        <v>1525.7829029689487</v>
      </c>
      <c r="O90" s="5">
        <v>2.5999999999999979</v>
      </c>
      <c r="P90" s="5">
        <v>0.99999999999999634</v>
      </c>
      <c r="Q90" s="1">
        <v>1.25</v>
      </c>
      <c r="R90" s="1">
        <v>11.5</v>
      </c>
      <c r="S90" s="1">
        <v>9</v>
      </c>
      <c r="T90" s="1">
        <v>7.5</v>
      </c>
      <c r="U90" s="1">
        <v>6</v>
      </c>
      <c r="V90" s="1" t="s">
        <v>15</v>
      </c>
    </row>
    <row r="91" spans="1:22" x14ac:dyDescent="0.25">
      <c r="A91" s="1">
        <v>19</v>
      </c>
      <c r="B91" s="1">
        <v>2</v>
      </c>
      <c r="C91" s="1" t="s">
        <v>20</v>
      </c>
      <c r="D91" s="2">
        <v>44895</v>
      </c>
      <c r="E91" s="1">
        <v>29.948037800000002</v>
      </c>
      <c r="F91" s="1">
        <v>-82.223818699999995</v>
      </c>
      <c r="G91" s="7">
        <v>0.53263596428571425</v>
      </c>
      <c r="H91" s="7">
        <v>0.8522175428571428</v>
      </c>
      <c r="I91" s="7">
        <v>8.951043055730605E-2</v>
      </c>
      <c r="J91" s="7">
        <v>0.42093971999999991</v>
      </c>
      <c r="K91" s="7">
        <v>2.9465780399999995</v>
      </c>
      <c r="L91" s="7">
        <f>K91/10.764</f>
        <v>0.273743779264214</v>
      </c>
      <c r="M91" s="1">
        <v>7</v>
      </c>
      <c r="N91" s="7">
        <f>M91*26.3066017753267</f>
        <v>184.14621242728691</v>
      </c>
      <c r="O91" s="5">
        <v>1.6000000000000014</v>
      </c>
      <c r="P91" s="5">
        <v>1.0000000000000142</v>
      </c>
      <c r="Q91" s="1">
        <v>23.75</v>
      </c>
      <c r="R91" s="1" t="s">
        <v>10</v>
      </c>
      <c r="S91" s="1">
        <v>14.5</v>
      </c>
      <c r="T91" s="1">
        <v>6.5</v>
      </c>
      <c r="U91" s="1" t="s">
        <v>10</v>
      </c>
      <c r="V91" s="1" t="s">
        <v>15</v>
      </c>
    </row>
    <row r="92" spans="1:22" x14ac:dyDescent="0.25">
      <c r="A92" s="1">
        <v>19</v>
      </c>
      <c r="B92" s="1">
        <v>3</v>
      </c>
      <c r="C92" s="1" t="s">
        <v>20</v>
      </c>
      <c r="D92" s="2">
        <v>44895</v>
      </c>
      <c r="E92" s="1">
        <v>29.949542600000001</v>
      </c>
      <c r="F92" s="1">
        <v>-82.223604499999993</v>
      </c>
      <c r="G92" s="7">
        <v>1.9163379999999999</v>
      </c>
      <c r="H92" s="7">
        <v>3.0661407999999999</v>
      </c>
      <c r="I92" s="7">
        <v>0.38252801778649825</v>
      </c>
      <c r="J92" s="7">
        <v>0.37453099235294118</v>
      </c>
      <c r="K92" s="7">
        <v>12.73405374</v>
      </c>
      <c r="L92" s="7">
        <f>K92/10.764</f>
        <v>1.1830224581939801</v>
      </c>
      <c r="M92" s="1">
        <v>34</v>
      </c>
      <c r="N92" s="7">
        <f>M92*26.3066017753267</f>
        <v>894.42446036110789</v>
      </c>
      <c r="O92" s="5">
        <v>2.0000000000000107</v>
      </c>
      <c r="P92" s="5">
        <v>1.4000000000000057</v>
      </c>
      <c r="Q92" s="1">
        <v>15.75</v>
      </c>
      <c r="R92" s="1">
        <v>19</v>
      </c>
      <c r="S92" s="1">
        <v>17</v>
      </c>
      <c r="T92" s="1">
        <v>14</v>
      </c>
      <c r="U92" s="1" t="s">
        <v>10</v>
      </c>
      <c r="V92" s="1" t="s">
        <v>15</v>
      </c>
    </row>
    <row r="93" spans="1:22" x14ac:dyDescent="0.25">
      <c r="A93" s="1">
        <v>19</v>
      </c>
      <c r="B93" s="1">
        <v>4</v>
      </c>
      <c r="C93" s="1" t="s">
        <v>20</v>
      </c>
      <c r="D93" s="2">
        <v>44895</v>
      </c>
      <c r="E93" s="1">
        <v>29.9479437</v>
      </c>
      <c r="F93" s="1">
        <v>-82.221686399999996</v>
      </c>
      <c r="G93" s="7">
        <v>1.6712347999999997</v>
      </c>
      <c r="H93" s="7">
        <v>2.6739756799999999</v>
      </c>
      <c r="I93" s="7">
        <v>0.1244854593958668</v>
      </c>
      <c r="J93" s="7">
        <v>0.25089874054054051</v>
      </c>
      <c r="K93" s="7">
        <v>12.73405374</v>
      </c>
      <c r="L93" s="7">
        <f>K93/10.764</f>
        <v>1.1830224581939801</v>
      </c>
      <c r="M93" s="1">
        <v>37</v>
      </c>
      <c r="N93" s="7">
        <f>M93*26.3066017753267</f>
        <v>973.34426568708795</v>
      </c>
      <c r="O93" s="5">
        <v>1.9999999999999927</v>
      </c>
      <c r="P93" s="5">
        <v>0.60000000000000497</v>
      </c>
      <c r="Q93" s="1">
        <v>2.75</v>
      </c>
      <c r="R93" s="1" t="s">
        <v>10</v>
      </c>
      <c r="S93" s="1">
        <v>10</v>
      </c>
      <c r="T93" s="1">
        <v>8</v>
      </c>
      <c r="U93" s="1">
        <v>6.5</v>
      </c>
      <c r="V93" s="1" t="s">
        <v>15</v>
      </c>
    </row>
    <row r="94" spans="1:22" x14ac:dyDescent="0.25">
      <c r="A94" s="1">
        <v>19</v>
      </c>
      <c r="B94" s="1">
        <v>5</v>
      </c>
      <c r="C94" s="1" t="s">
        <v>20</v>
      </c>
      <c r="D94" s="2">
        <v>44895</v>
      </c>
      <c r="E94" s="1">
        <v>29.946507400000002</v>
      </c>
      <c r="F94" s="1">
        <v>-82.229345100000003</v>
      </c>
      <c r="G94" s="7">
        <v>0.82763135714285707</v>
      </c>
      <c r="H94" s="7">
        <v>1.3242101714285714</v>
      </c>
      <c r="I94" s="7">
        <v>0.20753494573189818</v>
      </c>
      <c r="J94" s="7">
        <v>7.0079157391304353E-2</v>
      </c>
      <c r="K94" s="7">
        <v>3.2236412400000001</v>
      </c>
      <c r="L94" s="7">
        <f>K94/10.764</f>
        <v>0.29948357859531777</v>
      </c>
      <c r="M94" s="1">
        <v>46</v>
      </c>
      <c r="N94" s="7">
        <f>M94*26.3066017753267</f>
        <v>1210.1036816650283</v>
      </c>
      <c r="O94" s="5">
        <v>1.4000000000000057</v>
      </c>
      <c r="P94" s="5">
        <v>0.80000000000000071</v>
      </c>
      <c r="Q94" s="1">
        <v>30.75</v>
      </c>
      <c r="R94" s="1" t="s">
        <v>10</v>
      </c>
      <c r="S94" s="1">
        <v>5</v>
      </c>
      <c r="T94" s="1">
        <v>3.5</v>
      </c>
      <c r="U94" s="1" t="s">
        <v>10</v>
      </c>
      <c r="V94" s="1" t="s">
        <v>23</v>
      </c>
    </row>
    <row r="95" spans="1:22" x14ac:dyDescent="0.25">
      <c r="A95" s="1">
        <v>20</v>
      </c>
      <c r="B95" s="1">
        <v>1</v>
      </c>
      <c r="C95" s="1" t="s">
        <v>10</v>
      </c>
      <c r="D95" s="2">
        <v>44896</v>
      </c>
      <c r="E95" s="1">
        <v>30.000569500000001</v>
      </c>
      <c r="F95" s="1">
        <v>-82.229682400000002</v>
      </c>
      <c r="G95" s="7">
        <v>0.70402227999999989</v>
      </c>
      <c r="H95" s="7">
        <v>1.126435648</v>
      </c>
      <c r="I95" s="7">
        <v>5.9150784767631512E-2</v>
      </c>
      <c r="J95" s="7">
        <v>0.39739548374999994</v>
      </c>
      <c r="K95" s="7">
        <v>6.3583277399999991</v>
      </c>
      <c r="L95" s="7">
        <f>K95/10.764</f>
        <v>0.59070306020066887</v>
      </c>
      <c r="M95" s="1">
        <v>16</v>
      </c>
      <c r="N95" s="7">
        <f>M95*26.3066017753267</f>
        <v>420.90562840522722</v>
      </c>
      <c r="O95" s="5">
        <v>3.399999999999999</v>
      </c>
      <c r="P95" s="5">
        <v>1.2000000000000099</v>
      </c>
      <c r="Q95" s="1">
        <v>3</v>
      </c>
      <c r="R95" s="1" t="s">
        <v>10</v>
      </c>
      <c r="S95" s="1">
        <v>14.5</v>
      </c>
      <c r="T95" s="1">
        <v>12.5</v>
      </c>
      <c r="U95" s="1" t="s">
        <v>10</v>
      </c>
      <c r="V95" s="1" t="s">
        <v>15</v>
      </c>
    </row>
    <row r="96" spans="1:22" x14ac:dyDescent="0.25">
      <c r="A96" s="1">
        <v>20</v>
      </c>
      <c r="B96" s="1">
        <v>2</v>
      </c>
      <c r="C96" s="1">
        <v>3</v>
      </c>
      <c r="D96" s="2">
        <v>44896</v>
      </c>
      <c r="E96" s="1">
        <v>29.990539800000001</v>
      </c>
      <c r="F96" s="1">
        <v>-82.234263600000006</v>
      </c>
      <c r="G96" s="7">
        <v>0.56675026666666661</v>
      </c>
      <c r="H96" s="7">
        <v>0.9068004266666666</v>
      </c>
      <c r="I96" s="7">
        <v>0.12085875401759319</v>
      </c>
      <c r="J96" s="7">
        <v>5.6440344705882356E-2</v>
      </c>
      <c r="K96" s="7">
        <v>2.8784575800000001</v>
      </c>
      <c r="L96" s="7">
        <f>K96/10.764</f>
        <v>0.26741523411371237</v>
      </c>
      <c r="M96" s="1">
        <v>51</v>
      </c>
      <c r="N96" s="7">
        <f>M96*26.3066017753267</f>
        <v>1341.6366905416617</v>
      </c>
      <c r="O96" s="5">
        <v>1.4000000000000057</v>
      </c>
      <c r="P96" s="5">
        <v>0.60000000000000497</v>
      </c>
      <c r="Q96" s="1">
        <v>15.75</v>
      </c>
      <c r="R96" s="1" t="s">
        <v>10</v>
      </c>
      <c r="S96" s="1">
        <v>4</v>
      </c>
      <c r="T96" s="1" t="s">
        <v>10</v>
      </c>
      <c r="U96" s="1" t="s">
        <v>10</v>
      </c>
      <c r="V96" s="1" t="s">
        <v>23</v>
      </c>
    </row>
    <row r="97" spans="1:22" x14ac:dyDescent="0.25">
      <c r="A97" s="1">
        <v>20</v>
      </c>
      <c r="B97" s="1">
        <v>3</v>
      </c>
      <c r="C97" s="1" t="s">
        <v>10</v>
      </c>
      <c r="D97" s="2">
        <v>44896</v>
      </c>
      <c r="E97" s="1">
        <v>29.991281799999999</v>
      </c>
      <c r="F97" s="1">
        <v>-82.231669199999999</v>
      </c>
      <c r="G97" s="7">
        <v>1.6928111999999995</v>
      </c>
      <c r="H97" s="7">
        <v>2.7084979199999992</v>
      </c>
      <c r="I97" s="7">
        <v>0.1034088578298139</v>
      </c>
      <c r="J97" s="7">
        <v>0.25967654425531911</v>
      </c>
      <c r="K97" s="7">
        <v>12.204797579999999</v>
      </c>
      <c r="L97" s="7">
        <f>K97/10.764</f>
        <v>1.1338533612040134</v>
      </c>
      <c r="M97" s="1">
        <v>47</v>
      </c>
      <c r="N97" s="7">
        <f>M97*26.3066017753267</f>
        <v>1236.410283440355</v>
      </c>
      <c r="O97" s="5">
        <v>4.0000000000000036</v>
      </c>
      <c r="P97" s="5">
        <v>1.0000000000000142</v>
      </c>
      <c r="Q97" s="1">
        <v>0</v>
      </c>
      <c r="R97" s="1">
        <v>16.5</v>
      </c>
      <c r="S97" s="1">
        <v>15</v>
      </c>
      <c r="T97" s="1">
        <v>13</v>
      </c>
      <c r="U97" s="1" t="s">
        <v>10</v>
      </c>
      <c r="V97" s="1" t="s">
        <v>15</v>
      </c>
    </row>
    <row r="98" spans="1:22" x14ac:dyDescent="0.25">
      <c r="A98" s="1">
        <v>20</v>
      </c>
      <c r="B98" s="1">
        <v>4</v>
      </c>
      <c r="C98" s="1">
        <v>3</v>
      </c>
      <c r="D98" s="2">
        <v>44896</v>
      </c>
      <c r="E98" s="1">
        <v>29.989970700000001</v>
      </c>
      <c r="F98" s="1">
        <v>-82.225862300000003</v>
      </c>
      <c r="G98" s="7">
        <v>0.32875783333333336</v>
      </c>
      <c r="H98" s="7">
        <v>0.52601253333333342</v>
      </c>
      <c r="I98" s="7">
        <v>0.13612405704314012</v>
      </c>
      <c r="J98" s="7">
        <v>4.652101588235294E-2</v>
      </c>
      <c r="K98" s="7">
        <v>1.5817145399999999</v>
      </c>
      <c r="L98" s="7">
        <f>K98/10.764</f>
        <v>0.1469448662207358</v>
      </c>
      <c r="M98" s="1">
        <v>34</v>
      </c>
      <c r="N98" s="7">
        <f>M98*26.3066017753267</f>
        <v>894.42446036110789</v>
      </c>
      <c r="Q98" s="1">
        <v>21.25</v>
      </c>
      <c r="R98" s="1" t="s">
        <v>10</v>
      </c>
      <c r="S98" s="1">
        <v>3.5</v>
      </c>
      <c r="T98" s="1" t="s">
        <v>10</v>
      </c>
      <c r="U98" s="1" t="s">
        <v>10</v>
      </c>
      <c r="V98" s="1" t="s">
        <v>23</v>
      </c>
    </row>
    <row r="99" spans="1:22" x14ac:dyDescent="0.25">
      <c r="A99" s="1">
        <v>20</v>
      </c>
      <c r="B99" s="1">
        <v>5</v>
      </c>
      <c r="C99" s="1">
        <v>3</v>
      </c>
      <c r="D99" s="2">
        <v>44896</v>
      </c>
      <c r="E99" s="1">
        <v>29.986449100000002</v>
      </c>
      <c r="F99" s="1">
        <v>-82.222478300000006</v>
      </c>
      <c r="G99" s="7">
        <v>0.91751457692307681</v>
      </c>
      <c r="H99" s="7">
        <v>1.4680233230769231</v>
      </c>
      <c r="I99" s="7">
        <v>0.13508178297259096</v>
      </c>
      <c r="J99" s="7">
        <v>0.52616919600000001</v>
      </c>
      <c r="K99" s="7">
        <v>7.8925379400000004</v>
      </c>
      <c r="L99" s="7">
        <f>K99/10.764</f>
        <v>0.73323466555183958</v>
      </c>
      <c r="M99" s="1">
        <v>15</v>
      </c>
      <c r="N99" s="7">
        <f>M99*26.3066017753267</f>
        <v>394.59902662990049</v>
      </c>
      <c r="Q99" s="1">
        <v>12.5</v>
      </c>
      <c r="R99" s="1" t="s">
        <v>10</v>
      </c>
      <c r="S99" s="1">
        <v>17</v>
      </c>
      <c r="T99" s="1">
        <v>14</v>
      </c>
      <c r="U99" s="1" t="s">
        <v>10</v>
      </c>
      <c r="V99" s="1" t="s">
        <v>15</v>
      </c>
    </row>
    <row r="100" spans="1:22" x14ac:dyDescent="0.25">
      <c r="A100" s="1">
        <v>20</v>
      </c>
      <c r="B100" s="1">
        <v>6</v>
      </c>
      <c r="C100" s="1" t="s">
        <v>10</v>
      </c>
      <c r="D100" s="2">
        <v>44896</v>
      </c>
      <c r="E100" s="1">
        <v>29.991269599999999</v>
      </c>
      <c r="F100" s="1">
        <v>-82.230384099999995</v>
      </c>
      <c r="G100" s="7">
        <v>1.7314357692307694</v>
      </c>
      <c r="H100" s="7">
        <v>2.7702972307692311</v>
      </c>
      <c r="I100" s="7">
        <v>9.2854715730460419E-2</v>
      </c>
      <c r="J100" s="7">
        <v>0.2899878165</v>
      </c>
      <c r="K100" s="7">
        <v>11.59951266</v>
      </c>
      <c r="L100" s="7">
        <f>K100/10.764</f>
        <v>1.0776210200668896</v>
      </c>
      <c r="M100" s="1">
        <v>40</v>
      </c>
      <c r="N100" s="7">
        <f>M100*26.3066017753267</f>
        <v>1052.2640710130681</v>
      </c>
      <c r="Q100" s="1">
        <v>6.75</v>
      </c>
      <c r="R100" s="1" t="s">
        <v>10</v>
      </c>
      <c r="S100" s="1">
        <v>15</v>
      </c>
      <c r="T100" s="1">
        <v>12.5</v>
      </c>
      <c r="U100" s="1" t="s">
        <v>10</v>
      </c>
      <c r="V100" s="1" t="s">
        <v>15</v>
      </c>
    </row>
    <row r="101" spans="1:22" x14ac:dyDescent="0.25">
      <c r="A101" s="1">
        <v>20</v>
      </c>
      <c r="B101" s="1">
        <v>7</v>
      </c>
      <c r="C101" s="1" t="s">
        <v>10</v>
      </c>
      <c r="D101" s="2">
        <v>44896</v>
      </c>
      <c r="E101" s="1">
        <v>30.004671900000002</v>
      </c>
      <c r="F101" s="1">
        <v>-82.231495199999998</v>
      </c>
      <c r="G101" s="7">
        <v>1.6839773076923075</v>
      </c>
      <c r="H101" s="7">
        <v>2.6943636923076921</v>
      </c>
      <c r="I101" s="7">
        <v>6.9163701494798099E-2</v>
      </c>
      <c r="J101" s="7">
        <v>0.27062942785714295</v>
      </c>
      <c r="K101" s="7">
        <v>15.155247960000004</v>
      </c>
      <c r="L101" s="7">
        <f>K101/10.764</f>
        <v>1.4079568896321075</v>
      </c>
      <c r="M101" s="1">
        <v>56</v>
      </c>
      <c r="N101" s="7">
        <f>M101*26.3066017753267</f>
        <v>1473.1696994182953</v>
      </c>
      <c r="Q101" s="1">
        <v>0.5</v>
      </c>
      <c r="R101" s="1">
        <v>16</v>
      </c>
      <c r="S101" s="1">
        <v>14.5</v>
      </c>
      <c r="T101" s="1">
        <v>12</v>
      </c>
      <c r="U101" s="1" t="s">
        <v>10</v>
      </c>
      <c r="V101" s="1" t="s">
        <v>15</v>
      </c>
    </row>
  </sheetData>
  <sortState xmlns:xlrd2="http://schemas.microsoft.com/office/spreadsheetml/2017/richdata2" ref="A3:V101">
    <sortCondition ref="A3:A101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9"/>
  <sheetViews>
    <sheetView workbookViewId="0">
      <selection activeCell="A15" sqref="A15:XFD15"/>
    </sheetView>
  </sheetViews>
  <sheetFormatPr defaultRowHeight="15" x14ac:dyDescent="0.25"/>
  <cols>
    <col min="1" max="1" width="28" bestFit="1" customWidth="1"/>
  </cols>
  <sheetData>
    <row r="1" spans="1:2" x14ac:dyDescent="0.25">
      <c r="A1" t="s">
        <v>31</v>
      </c>
      <c r="B1" t="s">
        <v>25</v>
      </c>
    </row>
    <row r="2" spans="1:2" x14ac:dyDescent="0.25">
      <c r="A2" t="s">
        <v>47</v>
      </c>
      <c r="B2" t="s">
        <v>48</v>
      </c>
    </row>
    <row r="3" spans="1:2" x14ac:dyDescent="0.25">
      <c r="A3" t="s">
        <v>1</v>
      </c>
      <c r="B3" t="s">
        <v>35</v>
      </c>
    </row>
    <row r="4" spans="1:2" x14ac:dyDescent="0.25">
      <c r="A4" t="s">
        <v>19</v>
      </c>
      <c r="B4" t="s">
        <v>36</v>
      </c>
    </row>
    <row r="5" spans="1:2" x14ac:dyDescent="0.25">
      <c r="A5" t="s">
        <v>2</v>
      </c>
      <c r="B5" t="s">
        <v>34</v>
      </c>
    </row>
    <row r="6" spans="1:2" x14ac:dyDescent="0.25">
      <c r="A6" t="s">
        <v>3</v>
      </c>
      <c r="B6" t="s">
        <v>32</v>
      </c>
    </row>
    <row r="7" spans="1:2" x14ac:dyDescent="0.25">
      <c r="A7" t="s">
        <v>4</v>
      </c>
      <c r="B7" t="s">
        <v>33</v>
      </c>
    </row>
    <row r="8" spans="1:2" x14ac:dyDescent="0.25">
      <c r="A8" t="s">
        <v>5</v>
      </c>
      <c r="B8" t="s">
        <v>37</v>
      </c>
    </row>
    <row r="9" spans="1:2" x14ac:dyDescent="0.25">
      <c r="A9" t="s">
        <v>6</v>
      </c>
      <c r="B9" t="s">
        <v>38</v>
      </c>
    </row>
    <row r="10" spans="1:2" x14ac:dyDescent="0.25">
      <c r="A10" t="s">
        <v>16</v>
      </c>
      <c r="B10" t="s">
        <v>29</v>
      </c>
    </row>
    <row r="11" spans="1:2" x14ac:dyDescent="0.25">
      <c r="A11" t="s">
        <v>26</v>
      </c>
      <c r="B11" t="s">
        <v>30</v>
      </c>
    </row>
    <row r="12" spans="1:2" x14ac:dyDescent="0.25">
      <c r="A12" t="s">
        <v>27</v>
      </c>
      <c r="B12" t="s">
        <v>45</v>
      </c>
    </row>
    <row r="13" spans="1:2" x14ac:dyDescent="0.25">
      <c r="A13" t="s">
        <v>28</v>
      </c>
      <c r="B13" t="s">
        <v>46</v>
      </c>
    </row>
    <row r="14" spans="1:2" x14ac:dyDescent="0.25">
      <c r="A14" t="s">
        <v>24</v>
      </c>
      <c r="B14" t="s">
        <v>43</v>
      </c>
    </row>
    <row r="15" spans="1:2" x14ac:dyDescent="0.25">
      <c r="A15" t="s">
        <v>0</v>
      </c>
      <c r="B15" t="s">
        <v>39</v>
      </c>
    </row>
    <row r="16" spans="1:2" x14ac:dyDescent="0.25">
      <c r="A16" t="s">
        <v>7</v>
      </c>
      <c r="B16" t="s">
        <v>40</v>
      </c>
    </row>
    <row r="17" spans="1:2" x14ac:dyDescent="0.25">
      <c r="A17" t="s">
        <v>8</v>
      </c>
      <c r="B17" t="s">
        <v>41</v>
      </c>
    </row>
    <row r="18" spans="1:2" x14ac:dyDescent="0.25">
      <c r="A18" t="s">
        <v>9</v>
      </c>
      <c r="B18" t="s">
        <v>42</v>
      </c>
    </row>
    <row r="19" spans="1:2" x14ac:dyDescent="0.25">
      <c r="A19" t="s">
        <v>21</v>
      </c>
      <c r="B19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Variable Definitions</vt:lpstr>
    </vt:vector>
  </TitlesOfParts>
  <Company>University of Florida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Epstein,Joshua M</dc:creator>
  <cp:lastModifiedBy>Deljouei, Azade</cp:lastModifiedBy>
  <dcterms:created xsi:type="dcterms:W3CDTF">2022-02-25T14:08:18Z</dcterms:created>
  <dcterms:modified xsi:type="dcterms:W3CDTF">2025-01-31T14:06:56Z</dcterms:modified>
</cp:coreProperties>
</file>